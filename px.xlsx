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imSangMin\git\pxtemp\"/>
    </mc:Choice>
  </mc:AlternateContent>
  <xr:revisionPtr revIDLastSave="0" documentId="13_ncr:1_{29B3F958-69B3-4B03-8521-BA9E007979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상품_251030" sheetId="4" r:id="rId1"/>
    <sheet name="상품" sheetId="2" r:id="rId2"/>
    <sheet name="상품 (2)" sheetId="3" r:id="rId3"/>
    <sheet name="분류" sheetId="5" r:id="rId4"/>
  </sheets>
  <definedNames>
    <definedName name="_xlnm._FilterDatabase" localSheetId="1" hidden="1">상품!$E$2:$I$46</definedName>
    <definedName name="_xlnm._FilterDatabase" localSheetId="2" hidden="1">'상품 (2)'!$G$2:$K$46</definedName>
    <definedName name="_xlnm._FilterDatabase" localSheetId="0" hidden="1">상품_251030!$B$3:$J$207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5" i="4" l="1"/>
  <c r="I128" i="4"/>
  <c r="I17" i="4"/>
  <c r="I29" i="4"/>
  <c r="I91" i="4"/>
  <c r="I148" i="4"/>
  <c r="I191" i="4"/>
  <c r="I184" i="4"/>
  <c r="I186" i="4"/>
  <c r="I189" i="4"/>
  <c r="I173" i="4"/>
  <c r="I162" i="4"/>
  <c r="I161" i="4"/>
  <c r="I181" i="4"/>
  <c r="I197" i="4"/>
  <c r="I68" i="4"/>
  <c r="I199" i="4"/>
  <c r="I200" i="4"/>
  <c r="I62" i="4"/>
  <c r="I202" i="4"/>
  <c r="I201" i="4"/>
  <c r="I132" i="4"/>
  <c r="I140" i="4"/>
  <c r="I141" i="4"/>
  <c r="I142" i="4"/>
  <c r="I76" i="4"/>
  <c r="I137" i="4"/>
  <c r="I138" i="4"/>
  <c r="I63" i="4"/>
  <c r="I55" i="4"/>
  <c r="I171" i="4"/>
  <c r="I168" i="4"/>
  <c r="I166" i="4"/>
  <c r="I165" i="4"/>
  <c r="I167" i="4"/>
  <c r="I12" i="4"/>
  <c r="I67" i="4"/>
  <c r="I39" i="4"/>
  <c r="I7" i="4"/>
  <c r="I9" i="4"/>
  <c r="I57" i="4"/>
  <c r="I135" i="4"/>
  <c r="I38" i="4"/>
  <c r="I123" i="4"/>
  <c r="I30" i="4"/>
  <c r="I34" i="4"/>
  <c r="I27" i="4"/>
  <c r="I35" i="4"/>
  <c r="I44" i="4"/>
  <c r="I73" i="4"/>
  <c r="I51" i="4"/>
  <c r="I66" i="4"/>
  <c r="I28" i="4"/>
  <c r="I83" i="4"/>
  <c r="I87" i="4"/>
  <c r="I88" i="4"/>
  <c r="I89" i="4"/>
  <c r="I90" i="4"/>
  <c r="I97" i="4"/>
  <c r="I98" i="4"/>
  <c r="I99" i="4"/>
  <c r="I100" i="4"/>
  <c r="I102" i="4"/>
  <c r="I103" i="4"/>
  <c r="I108" i="4"/>
  <c r="I109" i="4"/>
  <c r="I113" i="4"/>
  <c r="I114" i="4"/>
  <c r="I115" i="4"/>
  <c r="I116" i="4"/>
  <c r="I117" i="4"/>
  <c r="I118" i="4"/>
  <c r="I120" i="4"/>
  <c r="I121" i="4"/>
  <c r="I122" i="4"/>
  <c r="I126" i="4"/>
  <c r="I134" i="4"/>
  <c r="I139" i="4"/>
  <c r="I174" i="4"/>
  <c r="I180" i="4"/>
  <c r="I198" i="4"/>
  <c r="I4" i="4"/>
  <c r="I13" i="4"/>
  <c r="I16" i="4"/>
  <c r="I18" i="4"/>
  <c r="I19" i="4"/>
  <c r="I20" i="4"/>
  <c r="I21" i="4"/>
  <c r="I22" i="4"/>
  <c r="I23" i="4"/>
  <c r="I24" i="4"/>
  <c r="I25" i="4"/>
  <c r="I42" i="4"/>
  <c r="I45" i="4"/>
  <c r="I46" i="4"/>
  <c r="I56" i="4"/>
  <c r="I60" i="4"/>
  <c r="I61" i="4"/>
  <c r="I69" i="4"/>
  <c r="I70" i="4"/>
  <c r="I72" i="4"/>
  <c r="I74" i="4"/>
  <c r="I75" i="4"/>
  <c r="I41" i="4"/>
  <c r="I32" i="4"/>
  <c r="I31" i="4"/>
  <c r="I48" i="4"/>
  <c r="I203" i="4"/>
  <c r="I8" i="4"/>
  <c r="I40" i="4"/>
  <c r="I33" i="4"/>
  <c r="I36" i="4"/>
  <c r="I37" i="4"/>
  <c r="I47" i="4"/>
  <c r="I49" i="4"/>
  <c r="I53" i="4"/>
  <c r="I143" i="4"/>
  <c r="I144" i="4"/>
  <c r="I136" i="4"/>
  <c r="I52" i="4"/>
  <c r="I58" i="4"/>
  <c r="I77" i="4"/>
  <c r="I78" i="4"/>
  <c r="I82" i="4"/>
  <c r="I86" i="4"/>
  <c r="I93" i="4"/>
  <c r="I94" i="4"/>
  <c r="I95" i="4"/>
  <c r="I104" i="4"/>
  <c r="I107" i="4"/>
  <c r="I110" i="4"/>
  <c r="I111" i="4"/>
  <c r="I112" i="4"/>
  <c r="I124" i="4"/>
  <c r="I127" i="4"/>
  <c r="I131" i="4"/>
  <c r="I146" i="4"/>
  <c r="I147" i="4"/>
  <c r="I149" i="4"/>
  <c r="I150" i="4"/>
  <c r="I151" i="4"/>
  <c r="I152" i="4"/>
  <c r="I153" i="4"/>
  <c r="I154" i="4"/>
  <c r="I155" i="4"/>
  <c r="I156" i="4"/>
  <c r="I163" i="4"/>
  <c r="I164" i="4"/>
  <c r="I169" i="4"/>
  <c r="I170" i="4"/>
  <c r="I172" i="4"/>
  <c r="I175" i="4"/>
  <c r="I177" i="4"/>
  <c r="I179" i="4"/>
  <c r="I182" i="4"/>
  <c r="I183" i="4"/>
  <c r="I185" i="4"/>
  <c r="I187" i="4"/>
  <c r="I188" i="4"/>
  <c r="I190" i="4"/>
  <c r="I192" i="4"/>
  <c r="I194" i="4"/>
  <c r="I195" i="4"/>
  <c r="I196" i="4"/>
  <c r="I204" i="4"/>
  <c r="I205" i="4"/>
  <c r="I5" i="4"/>
  <c r="I6" i="4"/>
  <c r="I10" i="4"/>
  <c r="I11" i="4"/>
  <c r="I14" i="4"/>
  <c r="I15" i="4"/>
  <c r="I26" i="4"/>
  <c r="I43" i="4"/>
  <c r="I50" i="4"/>
  <c r="I54" i="4"/>
  <c r="I59" i="4"/>
  <c r="I64" i="4"/>
  <c r="I65" i="4"/>
  <c r="I71" i="4"/>
  <c r="I79" i="4"/>
  <c r="I80" i="4"/>
  <c r="I81" i="4"/>
  <c r="I84" i="4"/>
  <c r="I85" i="4"/>
  <c r="I92" i="4"/>
  <c r="I96" i="4"/>
  <c r="I101" i="4"/>
  <c r="I105" i="4"/>
  <c r="I106" i="4"/>
  <c r="I119" i="4"/>
  <c r="I125" i="4"/>
  <c r="I129" i="4"/>
  <c r="I130" i="4"/>
  <c r="I133" i="4"/>
  <c r="I158" i="4"/>
  <c r="I159" i="4"/>
  <c r="I160" i="4"/>
  <c r="I176" i="4"/>
  <c r="I178" i="4"/>
  <c r="I193" i="4"/>
  <c r="I206" i="4"/>
  <c r="I157" i="4"/>
  <c r="H4" i="4"/>
  <c r="H5" i="4"/>
  <c r="H6" i="4"/>
  <c r="H8" i="4"/>
  <c r="H10" i="4"/>
  <c r="H11" i="4"/>
  <c r="H13" i="4"/>
  <c r="H14" i="4"/>
  <c r="H15" i="4"/>
  <c r="H16" i="4"/>
  <c r="H18" i="4"/>
  <c r="H19" i="4"/>
  <c r="H20" i="4"/>
  <c r="H21" i="4"/>
  <c r="H22" i="4"/>
  <c r="H23" i="4"/>
  <c r="H24" i="4"/>
  <c r="H25" i="4"/>
  <c r="H26" i="4"/>
  <c r="H28" i="4"/>
  <c r="H40" i="4"/>
  <c r="H31" i="4"/>
  <c r="H32" i="4"/>
  <c r="H33" i="4"/>
  <c r="H36" i="4"/>
  <c r="H37" i="4"/>
  <c r="H41" i="4"/>
  <c r="H42" i="4"/>
  <c r="H43" i="4"/>
  <c r="H51" i="4"/>
  <c r="H45" i="4"/>
  <c r="H46" i="4"/>
  <c r="H47" i="4"/>
  <c r="H48" i="4"/>
  <c r="H49" i="4"/>
  <c r="H50" i="4"/>
  <c r="H52" i="4"/>
  <c r="H53" i="4"/>
  <c r="H54" i="4"/>
  <c r="H56" i="4"/>
  <c r="H58" i="4"/>
  <c r="H59" i="4"/>
  <c r="H60" i="4"/>
  <c r="H61" i="4"/>
  <c r="H64" i="4"/>
  <c r="H65" i="4"/>
  <c r="H66" i="4"/>
  <c r="H69" i="4"/>
  <c r="H70" i="4"/>
  <c r="H71" i="4"/>
  <c r="H72" i="4"/>
  <c r="H73" i="4"/>
  <c r="H74" i="4"/>
  <c r="H75" i="4"/>
  <c r="H77" i="4"/>
  <c r="H78" i="4"/>
  <c r="H79" i="4"/>
  <c r="H80" i="4"/>
  <c r="H81" i="4"/>
  <c r="H82" i="4"/>
  <c r="H83" i="4"/>
  <c r="H84" i="4"/>
  <c r="H85" i="4"/>
  <c r="H86" i="4"/>
  <c r="H87" i="4"/>
  <c r="H89" i="4"/>
  <c r="H88" i="4"/>
  <c r="H90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4" i="4"/>
  <c r="H125" i="4"/>
  <c r="H126" i="4"/>
  <c r="H127" i="4"/>
  <c r="H129" i="4"/>
  <c r="H130" i="4"/>
  <c r="H131" i="4"/>
  <c r="H133" i="4"/>
  <c r="H134" i="4"/>
  <c r="H136" i="4"/>
  <c r="H139" i="4"/>
  <c r="H143" i="4"/>
  <c r="H144" i="4"/>
  <c r="H146" i="4"/>
  <c r="H147" i="4"/>
  <c r="H149" i="4"/>
  <c r="H150" i="4"/>
  <c r="H151" i="4"/>
  <c r="H152" i="4"/>
  <c r="H153" i="4"/>
  <c r="H154" i="4"/>
  <c r="H155" i="4"/>
  <c r="H156" i="4"/>
  <c r="H158" i="4"/>
  <c r="H159" i="4"/>
  <c r="H160" i="4"/>
  <c r="H163" i="4"/>
  <c r="H164" i="4"/>
  <c r="H169" i="4"/>
  <c r="H170" i="4"/>
  <c r="H172" i="4"/>
  <c r="H174" i="4"/>
  <c r="H175" i="4"/>
  <c r="H176" i="4"/>
  <c r="H177" i="4"/>
  <c r="H178" i="4"/>
  <c r="H179" i="4"/>
  <c r="H180" i="4"/>
  <c r="H182" i="4"/>
  <c r="H183" i="4"/>
  <c r="H185" i="4"/>
  <c r="H187" i="4"/>
  <c r="H188" i="4"/>
  <c r="H190" i="4"/>
  <c r="H192" i="4"/>
  <c r="H193" i="4"/>
  <c r="H194" i="4"/>
  <c r="H195" i="4"/>
  <c r="H196" i="4"/>
  <c r="H198" i="4"/>
  <c r="H204" i="4"/>
  <c r="H205" i="4"/>
  <c r="H206" i="4"/>
  <c r="H44" i="4"/>
  <c r="H203" i="4"/>
  <c r="H35" i="4"/>
  <c r="H27" i="4"/>
  <c r="H34" i="4"/>
  <c r="H30" i="4"/>
  <c r="H123" i="4"/>
  <c r="H38" i="4"/>
  <c r="H135" i="4"/>
  <c r="H57" i="4"/>
  <c r="H9" i="4"/>
  <c r="H7" i="4"/>
  <c r="H39" i="4"/>
  <c r="H67" i="4"/>
  <c r="H12" i="4"/>
  <c r="H167" i="4"/>
  <c r="H165" i="4"/>
  <c r="H166" i="4"/>
  <c r="H168" i="4"/>
  <c r="H171" i="4"/>
  <c r="H55" i="4"/>
  <c r="H63" i="4"/>
  <c r="H138" i="4"/>
  <c r="H137" i="4"/>
  <c r="H76" i="4"/>
  <c r="H142" i="4"/>
  <c r="H141" i="4"/>
  <c r="H140" i="4"/>
  <c r="H132" i="4"/>
  <c r="H201" i="4"/>
  <c r="H202" i="4"/>
  <c r="H62" i="4"/>
  <c r="H200" i="4"/>
  <c r="H199" i="4"/>
  <c r="H68" i="4"/>
  <c r="H197" i="4"/>
  <c r="H181" i="4"/>
  <c r="H161" i="4"/>
  <c r="H162" i="4"/>
  <c r="H173" i="4"/>
  <c r="H189" i="4"/>
  <c r="H186" i="4"/>
  <c r="H184" i="4"/>
  <c r="H191" i="4"/>
  <c r="H148" i="4"/>
  <c r="H91" i="4"/>
  <c r="H29" i="4"/>
  <c r="H17" i="4"/>
  <c r="H128" i="4"/>
  <c r="H145" i="4"/>
  <c r="H157" i="4"/>
  <c r="K53" i="2"/>
  <c r="H53" i="2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4" i="3"/>
  <c r="M52" i="3"/>
  <c r="J52" i="3"/>
  <c r="M51" i="3"/>
  <c r="J51" i="3"/>
  <c r="J50" i="3"/>
  <c r="M50" i="3" s="1"/>
  <c r="J49" i="3"/>
  <c r="M49" i="3" s="1"/>
  <c r="J48" i="3"/>
  <c r="M48" i="3" s="1"/>
  <c r="M47" i="3"/>
  <c r="J47" i="3"/>
  <c r="J46" i="3"/>
  <c r="M46" i="3" s="1"/>
  <c r="J45" i="3"/>
  <c r="M45" i="3" s="1"/>
  <c r="J44" i="3"/>
  <c r="M44" i="3" s="1"/>
  <c r="J43" i="3"/>
  <c r="M43" i="3" s="1"/>
  <c r="J42" i="3"/>
  <c r="M42" i="3" s="1"/>
  <c r="J41" i="3"/>
  <c r="M41" i="3" s="1"/>
  <c r="M40" i="3"/>
  <c r="J40" i="3"/>
  <c r="J39" i="3"/>
  <c r="M39" i="3" s="1"/>
  <c r="J38" i="3"/>
  <c r="M38" i="3" s="1"/>
  <c r="J37" i="3"/>
  <c r="M37" i="3" s="1"/>
  <c r="M36" i="3"/>
  <c r="J36" i="3"/>
  <c r="J35" i="3"/>
  <c r="M35" i="3" s="1"/>
  <c r="J34" i="3"/>
  <c r="M34" i="3" s="1"/>
  <c r="J33" i="3"/>
  <c r="M33" i="3" s="1"/>
  <c r="J32" i="3"/>
  <c r="M32" i="3" s="1"/>
  <c r="J31" i="3"/>
  <c r="M31" i="3" s="1"/>
  <c r="J30" i="3"/>
  <c r="M30" i="3" s="1"/>
  <c r="J29" i="3"/>
  <c r="M29" i="3" s="1"/>
  <c r="J28" i="3"/>
  <c r="M28" i="3" s="1"/>
  <c r="J27" i="3"/>
  <c r="M27" i="3" s="1"/>
  <c r="J26" i="3"/>
  <c r="M26" i="3" s="1"/>
  <c r="J25" i="3"/>
  <c r="M25" i="3" s="1"/>
  <c r="M24" i="3"/>
  <c r="J24" i="3"/>
  <c r="J23" i="3"/>
  <c r="M23" i="3" s="1"/>
  <c r="J22" i="3"/>
  <c r="M22" i="3" s="1"/>
  <c r="J21" i="3"/>
  <c r="M21" i="3" s="1"/>
  <c r="J20" i="3"/>
  <c r="M20" i="3" s="1"/>
  <c r="M19" i="3"/>
  <c r="J19" i="3"/>
  <c r="J18" i="3"/>
  <c r="M18" i="3" s="1"/>
  <c r="J17" i="3"/>
  <c r="M17" i="3" s="1"/>
  <c r="J16" i="3"/>
  <c r="M16" i="3" s="1"/>
  <c r="M15" i="3"/>
  <c r="J15" i="3"/>
  <c r="J14" i="3"/>
  <c r="M14" i="3" s="1"/>
  <c r="J13" i="3"/>
  <c r="M13" i="3" s="1"/>
  <c r="J12" i="3"/>
  <c r="M12" i="3" s="1"/>
  <c r="J11" i="3"/>
  <c r="M11" i="3" s="1"/>
  <c r="J10" i="3"/>
  <c r="M10" i="3" s="1"/>
  <c r="J9" i="3"/>
  <c r="M9" i="3" s="1"/>
  <c r="M8" i="3"/>
  <c r="J8" i="3"/>
  <c r="J7" i="3"/>
  <c r="M7" i="3" s="1"/>
  <c r="J6" i="3"/>
  <c r="M6" i="3" s="1"/>
  <c r="J5" i="3"/>
  <c r="M5" i="3" s="1"/>
  <c r="J4" i="3"/>
  <c r="M4" i="3" s="1"/>
  <c r="K17" i="2"/>
  <c r="H17" i="2"/>
  <c r="K16" i="2"/>
  <c r="H16" i="2"/>
  <c r="H26" i="2"/>
  <c r="K26" i="2" s="1"/>
  <c r="H25" i="2"/>
  <c r="K25" i="2" s="1"/>
  <c r="H27" i="2"/>
  <c r="K27" i="2" s="1"/>
  <c r="H24" i="2"/>
  <c r="K24" i="2" s="1"/>
  <c r="H23" i="2"/>
  <c r="K23" i="2" s="1"/>
  <c r="H40" i="2"/>
  <c r="K40" i="2" s="1"/>
  <c r="H39" i="2"/>
  <c r="K39" i="2" s="1"/>
  <c r="H38" i="2"/>
  <c r="K38" i="2" s="1"/>
  <c r="H5" i="2"/>
  <c r="K5" i="2" s="1"/>
  <c r="H6" i="2"/>
  <c r="K6" i="2" s="1"/>
  <c r="H7" i="2"/>
  <c r="K7" i="2" s="1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H14" i="2"/>
  <c r="K14" i="2" s="1"/>
  <c r="H15" i="2"/>
  <c r="K15" i="2" s="1"/>
  <c r="H18" i="2"/>
  <c r="K18" i="2" s="1"/>
  <c r="H19" i="2"/>
  <c r="K19" i="2" s="1"/>
  <c r="H20" i="2"/>
  <c r="K20" i="2" s="1"/>
  <c r="H21" i="2"/>
  <c r="K21" i="2" s="1"/>
  <c r="H22" i="2"/>
  <c r="K22" i="2" s="1"/>
  <c r="H28" i="2"/>
  <c r="K28" i="2" s="1"/>
  <c r="H29" i="2"/>
  <c r="K29" i="2" s="1"/>
  <c r="H30" i="2"/>
  <c r="K30" i="2" s="1"/>
  <c r="H31" i="2"/>
  <c r="K31" i="2" s="1"/>
  <c r="H32" i="2"/>
  <c r="K32" i="2" s="1"/>
  <c r="H33" i="2"/>
  <c r="K33" i="2" s="1"/>
  <c r="H34" i="2"/>
  <c r="K34" i="2" s="1"/>
  <c r="H35" i="2"/>
  <c r="K35" i="2" s="1"/>
  <c r="H36" i="2"/>
  <c r="K36" i="2" s="1"/>
  <c r="H37" i="2"/>
  <c r="K37" i="2" s="1"/>
  <c r="H41" i="2"/>
  <c r="K41" i="2" s="1"/>
  <c r="H42" i="2"/>
  <c r="K42" i="2" s="1"/>
  <c r="H43" i="2"/>
  <c r="K43" i="2" s="1"/>
  <c r="H44" i="2"/>
  <c r="K44" i="2" s="1"/>
  <c r="H45" i="2"/>
  <c r="K45" i="2" s="1"/>
  <c r="H46" i="2"/>
  <c r="K46" i="2" s="1"/>
  <c r="H47" i="2"/>
  <c r="K47" i="2" s="1"/>
  <c r="H48" i="2"/>
  <c r="K48" i="2" s="1"/>
  <c r="H49" i="2"/>
  <c r="K49" i="2" s="1"/>
  <c r="H50" i="2"/>
  <c r="K50" i="2" s="1"/>
  <c r="H51" i="2"/>
  <c r="K51" i="2" s="1"/>
  <c r="H52" i="2"/>
  <c r="K52" i="2" s="1"/>
  <c r="H4" i="2"/>
  <c r="K4" i="2" s="1"/>
  <c r="K19" i="4" l="1"/>
  <c r="K51" i="4"/>
  <c r="K50" i="4"/>
  <c r="K7" i="4"/>
  <c r="K16" i="4"/>
  <c r="K94" i="4"/>
  <c r="K49" i="4"/>
  <c r="K21" i="4"/>
  <c r="K32" i="4"/>
  <c r="K56" i="4"/>
  <c r="K44" i="4"/>
  <c r="K54" i="4"/>
  <c r="K89" i="4"/>
  <c r="K118" i="4"/>
  <c r="K110" i="4"/>
  <c r="K102" i="4"/>
  <c r="K190" i="4"/>
  <c r="K52" i="4"/>
  <c r="K64" i="4"/>
  <c r="K181" i="4"/>
  <c r="K109" i="4"/>
  <c r="K167" i="4"/>
  <c r="K116" i="4"/>
  <c r="K108" i="4"/>
  <c r="K100" i="4"/>
  <c r="K71" i="4"/>
  <c r="K53" i="4"/>
  <c r="K65" i="4"/>
  <c r="K206" i="4"/>
  <c r="K38" i="4"/>
  <c r="K205" i="4"/>
  <c r="K101" i="4"/>
  <c r="K117" i="4"/>
  <c r="K123" i="4"/>
  <c r="K85" i="4"/>
  <c r="K76" i="4"/>
  <c r="K83" i="4"/>
  <c r="K58" i="4"/>
  <c r="K115" i="4"/>
  <c r="K107" i="4"/>
  <c r="K99" i="4"/>
  <c r="K75" i="4"/>
  <c r="K43" i="4"/>
  <c r="K132" i="4"/>
  <c r="K46" i="4"/>
  <c r="K183" i="4"/>
  <c r="K145" i="4"/>
  <c r="K92" i="4"/>
  <c r="K78" i="4"/>
  <c r="K82" i="4"/>
  <c r="K57" i="4"/>
  <c r="K37" i="4"/>
  <c r="K196" i="4"/>
  <c r="K130" i="4"/>
  <c r="K24" i="4"/>
  <c r="K189" i="4"/>
  <c r="K135" i="4"/>
  <c r="K114" i="4"/>
  <c r="K106" i="4"/>
  <c r="K98" i="4"/>
  <c r="K69" i="4"/>
  <c r="K124" i="4"/>
  <c r="K204" i="4"/>
  <c r="K182" i="4"/>
  <c r="K174" i="4"/>
  <c r="K165" i="4"/>
  <c r="K159" i="4"/>
  <c r="K68" i="4"/>
  <c r="K141" i="4"/>
  <c r="K136" i="4"/>
  <c r="K9" i="4"/>
  <c r="K27" i="4"/>
  <c r="K41" i="4"/>
  <c r="K146" i="4"/>
  <c r="K86" i="4"/>
  <c r="K81" i="4"/>
  <c r="K203" i="4"/>
  <c r="K153" i="4"/>
  <c r="K134" i="4"/>
  <c r="K113" i="4"/>
  <c r="K105" i="4"/>
  <c r="K97" i="4"/>
  <c r="K93" i="4"/>
  <c r="K63" i="4"/>
  <c r="K122" i="4"/>
  <c r="K60" i="4"/>
  <c r="K8" i="4"/>
  <c r="K31" i="4"/>
  <c r="K180" i="4"/>
  <c r="K158" i="4"/>
  <c r="K195" i="4"/>
  <c r="K129" i="4"/>
  <c r="K140" i="4"/>
  <c r="K6" i="4"/>
  <c r="K74" i="4"/>
  <c r="K88" i="4"/>
  <c r="K144" i="4"/>
  <c r="K120" i="4"/>
  <c r="K112" i="4"/>
  <c r="K104" i="4"/>
  <c r="K96" i="4"/>
  <c r="K91" i="4"/>
  <c r="K84" i="4"/>
  <c r="K55" i="4"/>
  <c r="K121" i="4"/>
  <c r="K77" i="4"/>
  <c r="K67" i="4"/>
  <c r="K11" i="4"/>
  <c r="K142" i="4"/>
  <c r="K12" i="4"/>
  <c r="K119" i="4"/>
  <c r="K111" i="4"/>
  <c r="K103" i="4"/>
  <c r="K95" i="4"/>
  <c r="K70" i="4"/>
  <c r="K170" i="4"/>
  <c r="K125" i="4"/>
  <c r="K47" i="4"/>
  <c r="K25" i="4"/>
  <c r="K127" i="4"/>
  <c r="K143" i="4"/>
  <c r="K169" i="4"/>
  <c r="K155" i="4"/>
  <c r="K133" i="4"/>
  <c r="K59" i="4"/>
  <c r="K194" i="4"/>
  <c r="K28" i="4"/>
  <c r="K4" i="4"/>
  <c r="K154" i="4"/>
  <c r="K184" i="4"/>
  <c r="K139" i="4"/>
  <c r="K175" i="4"/>
  <c r="K166" i="4"/>
  <c r="K160" i="4"/>
  <c r="K87" i="4"/>
  <c r="K79" i="4"/>
  <c r="K33" i="4"/>
  <c r="K192" i="4"/>
  <c r="K179" i="4"/>
  <c r="K171" i="4"/>
  <c r="K164" i="4"/>
  <c r="K157" i="4"/>
  <c r="K151" i="4"/>
  <c r="K90" i="4"/>
  <c r="K61" i="4"/>
  <c r="K48" i="4"/>
  <c r="K14" i="4"/>
  <c r="K178" i="4"/>
  <c r="K156" i="4"/>
  <c r="K150" i="4"/>
  <c r="K39" i="4"/>
  <c r="K177" i="4"/>
  <c r="K168" i="4"/>
  <c r="K162" i="4"/>
  <c r="K138" i="4"/>
  <c r="K73" i="4"/>
  <c r="K15" i="4"/>
  <c r="K29" i="4"/>
  <c r="K198" i="4"/>
  <c r="K187" i="4"/>
  <c r="K176" i="4"/>
  <c r="K161" i="4"/>
  <c r="K148" i="4"/>
  <c r="K137" i="4"/>
  <c r="K131" i="4"/>
  <c r="K80" i="4"/>
  <c r="K72" i="4"/>
  <c r="K66" i="4"/>
  <c r="K45" i="4"/>
  <c r="K20" i="4"/>
  <c r="K185" i="4"/>
  <c r="K35" i="4"/>
  <c r="K5" i="4"/>
  <c r="K193" i="4"/>
  <c r="K173" i="4"/>
  <c r="K152" i="4"/>
  <c r="K126" i="4"/>
  <c r="K62" i="4"/>
  <c r="K42" i="4"/>
  <c r="K188" i="4"/>
  <c r="K149" i="4"/>
  <c r="K191" i="4"/>
  <c r="K23" i="4"/>
  <c r="K202" i="4"/>
  <c r="K197" i="4"/>
  <c r="K18" i="4"/>
  <c r="K30" i="4"/>
  <c r="K201" i="4"/>
  <c r="K147" i="4"/>
  <c r="K200" i="4"/>
  <c r="K163" i="4"/>
  <c r="K36" i="4"/>
  <c r="K17" i="4"/>
  <c r="K128" i="4"/>
  <c r="K199" i="4"/>
  <c r="K186" i="4"/>
  <c r="K172" i="4"/>
  <c r="K13" i="4"/>
  <c r="K40" i="4"/>
  <c r="K10" i="4"/>
  <c r="K34" i="4"/>
  <c r="K26" i="4"/>
  <c r="K22" i="4"/>
</calcChain>
</file>

<file path=xl/sharedStrings.xml><?xml version="1.0" encoding="utf-8"?>
<sst xmlns="http://schemas.openxmlformats.org/spreadsheetml/2006/main" count="1222" uniqueCount="371">
  <si>
    <t>상품명</t>
  </si>
  <si>
    <t>단가</t>
  </si>
  <si>
    <t>분류</t>
  </si>
  <si>
    <t>상세분류</t>
  </si>
  <si>
    <t>판매단위</t>
  </si>
  <si>
    <t>비고</t>
  </si>
  <si>
    <t>기타</t>
  </si>
  <si>
    <t>디퓨저</t>
  </si>
  <si>
    <t>캘리포니아센트 스필프루프 코로나도</t>
  </si>
  <si>
    <t>체리향 디퓨저</t>
  </si>
  <si>
    <t>젠틀 디퓨저 블랙로즈</t>
  </si>
  <si>
    <t>세재</t>
  </si>
  <si>
    <t>식품</t>
  </si>
  <si>
    <t>과자</t>
  </si>
  <si>
    <t>음료</t>
  </si>
  <si>
    <t>즉석밥</t>
  </si>
  <si>
    <t>차</t>
  </si>
  <si>
    <t>캔디</t>
  </si>
  <si>
    <t>화장품</t>
  </si>
  <si>
    <t>마스크팩</t>
  </si>
  <si>
    <t>선크림</t>
  </si>
  <si>
    <t>아이크림</t>
  </si>
  <si>
    <t>영양크림</t>
  </si>
  <si>
    <t>송윤아크림</t>
  </si>
  <si>
    <t>폼클렌징</t>
  </si>
  <si>
    <t>주류</t>
  </si>
  <si>
    <t>테라 캔맥주 355ml</t>
  </si>
  <si>
    <t>영양제</t>
  </si>
  <si>
    <t>하이뮨 프로틴 밸런스(가루)</t>
  </si>
  <si>
    <t>TYPE_DTL</t>
  </si>
  <si>
    <t>ITM_NM</t>
  </si>
  <si>
    <t>UNIT</t>
  </si>
  <si>
    <t>RMRK</t>
  </si>
  <si>
    <t>펩시제로슈거라임 500ml.jpg</t>
  </si>
  <si>
    <t>핫식스더킹러쉬 355ml.jpg</t>
  </si>
  <si>
    <t>프링글스 리치치즈갈릭.jpg</t>
  </si>
  <si>
    <t>핫식스더킹파워 355ml.jpg</t>
  </si>
  <si>
    <t>몬스터에너지 울트라 355ml.jpg</t>
  </si>
  <si>
    <t>햇반 130g.jpg</t>
  </si>
  <si>
    <t>쟈뎅 아워티 콤푸차 레몬 10p.jpg</t>
  </si>
  <si>
    <t>쟈뎅 아워티 콤푸차 베리 10p.jpg</t>
  </si>
  <si>
    <t>박카스맛젤리.jpg</t>
  </si>
  <si>
    <t>이클립스 페퍼민트향 34g.jpg</t>
  </si>
  <si>
    <t>이클립스 피치향 34g.jpg</t>
  </si>
  <si>
    <t>SNP 골드 콜라겐 앰플 마스크.jpg</t>
  </si>
  <si>
    <t>메디힐 디엔에이 프로아틴 마스크.jpg</t>
  </si>
  <si>
    <t>닥터지 메디유브이 울트라 선 50ml.jpg</t>
  </si>
  <si>
    <t>AHC 내추럴 퍼펙션 프레쉬선스틱.jpg</t>
  </si>
  <si>
    <t>AHC프라이빗 리얼아이크림기프트세트.jpg</t>
  </si>
  <si>
    <t>마녀공장 비피다 바이옴 수분 장벽 강화 크림 기획세트.jpg</t>
  </si>
  <si>
    <t>이니스프리 퍼펙트9인텐시브 크림.jpg</t>
  </si>
  <si>
    <t>닥터지 로얄 블랙스네일 크림.jpg</t>
  </si>
  <si>
    <t>아이소이 탄력크림EX.jpg</t>
  </si>
  <si>
    <t>다이아몬드 리페어 퍼펙트 세트.jpg</t>
  </si>
  <si>
    <t>닥터지 레드 블레미쉬 모이스처 클렌징 폼.jpg</t>
  </si>
  <si>
    <t>뉴트로지나 딥클린 아크네 포밍.jpg</t>
  </si>
  <si>
    <t>순번</t>
  </si>
  <si>
    <t>판매가</t>
  </si>
  <si>
    <t>이미지</t>
  </si>
  <si>
    <t>ITM_SEQ</t>
  </si>
  <si>
    <t>TYPE</t>
  </si>
  <si>
    <t>PRICE</t>
  </si>
  <si>
    <t>IMG</t>
  </si>
  <si>
    <t>캘리포니아센트 스필프루프 코로나도.jpg</t>
  </si>
  <si>
    <t>젠틀 디퓨저 블랙로즈.jpg</t>
  </si>
  <si>
    <t>에멜시 차량용 방향제 170ml 헤블린 오션</t>
  </si>
  <si>
    <t>에멜시 차량용 방향제 170ml 헤블린 오션.jpg</t>
  </si>
  <si>
    <t>그라스 디퓨저 105ml 블랙베리&amp;체리</t>
  </si>
  <si>
    <t>그라스 디퓨저 105ml 블랙베리&amp;체리.jpg</t>
  </si>
  <si>
    <t>다우니 프리미엄 세탁세제 액체형 실내건조</t>
  </si>
  <si>
    <t>다우니 프리미엄 세탁세제 액체형 실내건조.jpg</t>
  </si>
  <si>
    <t>안마기</t>
  </si>
  <si>
    <t>비트 마사지 건 HMS-12</t>
  </si>
  <si>
    <t>비트 마사지 건 HMS-12.jpg</t>
  </si>
  <si>
    <t>면도날</t>
  </si>
  <si>
    <t>질레트 프로쉴드 옐로우 면도날 4입</t>
  </si>
  <si>
    <t>질레트 프로쉴드 옐로우 면도날 4입.jpg</t>
  </si>
  <si>
    <t>프링글스양파맛</t>
  </si>
  <si>
    <t>프링글스양파맛.jpg</t>
  </si>
  <si>
    <t>프링글스 리치치즈갈릭</t>
  </si>
  <si>
    <t>프링글스 버터카라멜</t>
  </si>
  <si>
    <t>프링글스 버터카라멜.jpg</t>
  </si>
  <si>
    <t>프링글스 핫앤스파이시</t>
  </si>
  <si>
    <t>프링글스 핫앤스파이시.jpg</t>
  </si>
  <si>
    <t>키커바</t>
  </si>
  <si>
    <t>키커바.png</t>
  </si>
  <si>
    <t>펩시제로슈거라임 500ml</t>
  </si>
  <si>
    <t>핫식스더킹러쉬 355ml</t>
  </si>
  <si>
    <t>핫식스더킹파워 355ml</t>
  </si>
  <si>
    <t>몬스터에너지 울트라 355ml</t>
  </si>
  <si>
    <t>햇반 130g</t>
  </si>
  <si>
    <t>쟈뎅 아워티 콤푸차 레몬 10p</t>
  </si>
  <si>
    <t>쟈뎅 아워티 콤푸차 베리 10p</t>
  </si>
  <si>
    <t>쟈뎅 아워티 콤푸차 자몽 10p</t>
  </si>
  <si>
    <t>쟈뎅 아워티 콤푸차 자몽 10p.png</t>
  </si>
  <si>
    <t>박카스맛젤리</t>
  </si>
  <si>
    <t>이클립스 페퍼민트향 34g</t>
  </si>
  <si>
    <t>이클립스 피치향 34g</t>
  </si>
  <si>
    <t>맥스빌더</t>
  </si>
  <si>
    <t>맥스빌더.jpg</t>
  </si>
  <si>
    <t>SNP 골드 콜라겐 앰플 마스크</t>
  </si>
  <si>
    <t>메디힐 디엔에이 프로아틴 마스크</t>
  </si>
  <si>
    <t>닥터지 메디유브이 울트라 선 50ml</t>
  </si>
  <si>
    <t>AHC 내추럴 퍼펙션 프레쉬선스틱</t>
  </si>
  <si>
    <t>AHC프라이빗 리얼아이크림기프트세트</t>
  </si>
  <si>
    <t>마녀공장 비피다 바이옴 수분 장벽 강화 크림 기획세트</t>
  </si>
  <si>
    <t>이니스프리 퍼펙트9인텐시브 크림</t>
  </si>
  <si>
    <t>닥터지 로얄 블랙스네일 크림</t>
  </si>
  <si>
    <t>아이소이 탄력크림EX</t>
  </si>
  <si>
    <t>다이아몬드 리페어 퍼펙트 세트</t>
  </si>
  <si>
    <t>닥터지 레드 블레미쉬 모이스처 클렌징 폼</t>
  </si>
  <si>
    <t>뉴트로지나 딥클린 아크네 포밍</t>
  </si>
  <si>
    <t>]</t>
  </si>
  <si>
    <t>소세지</t>
  </si>
  <si>
    <t>롯데햄 키스틱 더블치즈 소시지</t>
  </si>
  <si>
    <t>롯데햄 키스틱 더블치즈 소시지.jpg</t>
  </si>
  <si>
    <t>키스틱</t>
  </si>
  <si>
    <t>키스틱.jpg</t>
  </si>
  <si>
    <t>쉐이크</t>
    <phoneticPr fontId="3" type="noConversion"/>
  </si>
  <si>
    <r>
      <rPr>
        <sz val="11"/>
        <color rgb="FF000000"/>
        <rFont val="맑은 고딕"/>
        <family val="3"/>
        <charset val="129"/>
      </rPr>
      <t>퀘이커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마시는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오트밀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단백질</t>
    </r>
    <r>
      <rPr>
        <sz val="11"/>
        <color rgb="FF000000"/>
        <rFont val="Arial"/>
        <family val="3"/>
      </rPr>
      <t>, 80g</t>
    </r>
    <phoneticPr fontId="3" type="noConversion"/>
  </si>
  <si>
    <r>
      <rPr>
        <sz val="11"/>
        <color rgb="FF000000"/>
        <rFont val="Arial Unicode MS"/>
        <family val="2"/>
        <charset val="129"/>
      </rPr>
      <t>퀘이커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2"/>
        <charset val="129"/>
      </rPr>
      <t>마시는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2"/>
        <charset val="129"/>
      </rPr>
      <t>오트밀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2"/>
        <charset val="129"/>
      </rPr>
      <t>단백질</t>
    </r>
    <r>
      <rPr>
        <sz val="11"/>
        <color rgb="FF000000"/>
        <rFont val="Arial"/>
        <family val="2"/>
      </rPr>
      <t>, 80g</t>
    </r>
    <r>
      <rPr>
        <sz val="11"/>
        <color rgb="FF000000"/>
        <rFont val="Arial Unicode MS"/>
        <family val="2"/>
        <charset val="129"/>
      </rPr>
      <t>.</t>
    </r>
    <r>
      <rPr>
        <sz val="11"/>
        <color rgb="FF000000"/>
        <rFont val="Arial"/>
        <family val="2"/>
      </rPr>
      <t>jpg</t>
    </r>
    <phoneticPr fontId="3" type="noConversion"/>
  </si>
  <si>
    <r>
      <rPr>
        <sz val="11"/>
        <color rgb="FF000000"/>
        <rFont val="맑은 고딕"/>
        <family val="3"/>
        <charset val="129"/>
      </rPr>
      <t>퀘이커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마시는오트밀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오트</t>
    </r>
    <r>
      <rPr>
        <sz val="11"/>
        <color rgb="FF000000"/>
        <rFont val="Arial"/>
        <family val="3"/>
      </rPr>
      <t>&amp;</t>
    </r>
    <r>
      <rPr>
        <sz val="11"/>
        <color rgb="FF000000"/>
        <rFont val="Arial Unicode MS"/>
        <family val="3"/>
        <charset val="129"/>
      </rPr>
      <t>그레인</t>
    </r>
    <r>
      <rPr>
        <sz val="11"/>
        <color rgb="FF000000"/>
        <rFont val="Arial"/>
        <family val="3"/>
        <charset val="129"/>
      </rPr>
      <t>, 50g</t>
    </r>
    <phoneticPr fontId="3" type="noConversion"/>
  </si>
  <si>
    <r>
      <rPr>
        <sz val="11"/>
        <color rgb="FF000000"/>
        <rFont val="맑은 고딕"/>
        <family val="3"/>
        <charset val="129"/>
      </rPr>
      <t>퀘이커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마시는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오트밀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오트</t>
    </r>
    <r>
      <rPr>
        <sz val="11"/>
        <color rgb="FF000000"/>
        <rFont val="Arial"/>
        <family val="3"/>
      </rPr>
      <t>&amp;</t>
    </r>
    <r>
      <rPr>
        <sz val="11"/>
        <color rgb="FF000000"/>
        <rFont val="Arial Unicode MS"/>
        <family val="3"/>
        <charset val="129"/>
      </rPr>
      <t>우리쌀</t>
    </r>
    <r>
      <rPr>
        <sz val="11"/>
        <color rgb="FF000000"/>
        <rFont val="Arial"/>
        <family val="3"/>
        <charset val="129"/>
      </rPr>
      <t>, 50g</t>
    </r>
    <phoneticPr fontId="3" type="noConversion"/>
  </si>
  <si>
    <r>
      <rPr>
        <sz val="11"/>
        <color rgb="FF000000"/>
        <rFont val="Arial Unicode MS"/>
        <family val="2"/>
        <charset val="129"/>
      </rPr>
      <t>퀘이커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2"/>
        <charset val="129"/>
      </rPr>
      <t>마시는오트밀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2"/>
        <charset val="129"/>
      </rPr>
      <t>오트</t>
    </r>
    <r>
      <rPr>
        <sz val="11"/>
        <color rgb="FF000000"/>
        <rFont val="Arial"/>
        <family val="2"/>
      </rPr>
      <t>&amp;</t>
    </r>
    <r>
      <rPr>
        <sz val="11"/>
        <color rgb="FF000000"/>
        <rFont val="Arial Unicode MS"/>
        <family val="2"/>
        <charset val="129"/>
      </rPr>
      <t>그레인</t>
    </r>
    <r>
      <rPr>
        <sz val="11"/>
        <color rgb="FF000000"/>
        <rFont val="Arial"/>
        <family val="2"/>
      </rPr>
      <t>, 50g</t>
    </r>
    <r>
      <rPr>
        <sz val="11"/>
        <color rgb="FF000000"/>
        <rFont val="Arial Unicode MS"/>
        <family val="2"/>
        <charset val="129"/>
      </rPr>
      <t>.</t>
    </r>
    <r>
      <rPr>
        <sz val="11"/>
        <color rgb="FF000000"/>
        <rFont val="Arial"/>
        <family val="2"/>
      </rPr>
      <t>jpg</t>
    </r>
    <phoneticPr fontId="3" type="noConversion"/>
  </si>
  <si>
    <r>
      <rPr>
        <sz val="11"/>
        <color rgb="FF000000"/>
        <rFont val="Arial Unicode MS"/>
        <family val="2"/>
        <charset val="129"/>
      </rPr>
      <t>퀘이커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2"/>
        <charset val="129"/>
      </rPr>
      <t>마시는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2"/>
        <charset val="129"/>
      </rPr>
      <t>오트밀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2"/>
        <charset val="129"/>
      </rPr>
      <t>오트</t>
    </r>
    <r>
      <rPr>
        <sz val="11"/>
        <color rgb="FF000000"/>
        <rFont val="Arial"/>
        <family val="2"/>
      </rPr>
      <t>&amp;</t>
    </r>
    <r>
      <rPr>
        <sz val="11"/>
        <color rgb="FF000000"/>
        <rFont val="Arial Unicode MS"/>
        <family val="2"/>
        <charset val="129"/>
      </rPr>
      <t>우리쌀</t>
    </r>
    <r>
      <rPr>
        <sz val="11"/>
        <color rgb="FF000000"/>
        <rFont val="Arial"/>
        <family val="2"/>
      </rPr>
      <t>, 50g</t>
    </r>
    <r>
      <rPr>
        <sz val="11"/>
        <color rgb="FF000000"/>
        <rFont val="Arial Unicode MS"/>
        <family val="2"/>
        <charset val="129"/>
      </rPr>
      <t>.</t>
    </r>
    <r>
      <rPr>
        <sz val="11"/>
        <color rgb="FF000000"/>
        <rFont val="Arial"/>
        <family val="2"/>
      </rPr>
      <t>jpg</t>
    </r>
    <phoneticPr fontId="3" type="noConversion"/>
  </si>
  <si>
    <r>
      <rPr>
        <sz val="11"/>
        <color rgb="FF000000"/>
        <rFont val="돋움"/>
        <family val="3"/>
        <charset val="129"/>
      </rPr>
      <t>퀘이커</t>
    </r>
    <r>
      <rPr>
        <sz val="11"/>
        <color rgb="FF000000"/>
        <rFont val="Arial"/>
        <family val="3"/>
        <charset val="129"/>
      </rPr>
      <t xml:space="preserve"> </t>
    </r>
    <r>
      <rPr>
        <sz val="11"/>
        <color rgb="FF000000"/>
        <rFont val="돋움"/>
        <family val="3"/>
        <charset val="129"/>
      </rPr>
      <t>마시는</t>
    </r>
    <r>
      <rPr>
        <sz val="11"/>
        <color rgb="FF000000"/>
        <rFont val="Arial"/>
        <family val="3"/>
        <charset val="129"/>
      </rPr>
      <t xml:space="preserve"> </t>
    </r>
    <r>
      <rPr>
        <sz val="11"/>
        <color rgb="FF000000"/>
        <rFont val="돋움"/>
        <family val="3"/>
        <charset val="129"/>
      </rPr>
      <t>오트밀 찰옥수수, 50</t>
    </r>
    <r>
      <rPr>
        <sz val="11"/>
        <color rgb="FF000000"/>
        <rFont val="Arial"/>
        <family val="3"/>
        <charset val="129"/>
      </rPr>
      <t>g</t>
    </r>
    <phoneticPr fontId="3" type="noConversion"/>
  </si>
  <si>
    <r>
      <rPr>
        <sz val="11"/>
        <color rgb="FF000000"/>
        <rFont val="돋움"/>
        <family val="2"/>
        <charset val="129"/>
      </rPr>
      <t>퀘이커</t>
    </r>
    <r>
      <rPr>
        <sz val="11"/>
        <color rgb="FF000000"/>
        <rFont val="Arial"/>
        <family val="2"/>
        <charset val="129"/>
      </rPr>
      <t xml:space="preserve"> </t>
    </r>
    <r>
      <rPr>
        <sz val="11"/>
        <color rgb="FF000000"/>
        <rFont val="돋움"/>
        <family val="2"/>
        <charset val="129"/>
      </rPr>
      <t>마시는</t>
    </r>
    <r>
      <rPr>
        <sz val="11"/>
        <color rgb="FF000000"/>
        <rFont val="Arial"/>
        <family val="2"/>
        <charset val="129"/>
      </rPr>
      <t xml:space="preserve"> </t>
    </r>
    <r>
      <rPr>
        <sz val="11"/>
        <color rgb="FF000000"/>
        <rFont val="돋움"/>
        <family val="2"/>
        <charset val="129"/>
      </rPr>
      <t>오트밀</t>
    </r>
    <r>
      <rPr>
        <sz val="11"/>
        <color rgb="FF000000"/>
        <rFont val="Arial"/>
        <family val="2"/>
        <charset val="129"/>
      </rPr>
      <t xml:space="preserve"> </t>
    </r>
    <r>
      <rPr>
        <sz val="11"/>
        <color rgb="FF000000"/>
        <rFont val="돋움"/>
        <family val="2"/>
        <charset val="129"/>
      </rPr>
      <t>찰옥수수</t>
    </r>
    <r>
      <rPr>
        <sz val="11"/>
        <color rgb="FF000000"/>
        <rFont val="Arial"/>
        <family val="2"/>
        <charset val="129"/>
      </rPr>
      <t>, 50g.jpg</t>
    </r>
    <phoneticPr fontId="3" type="noConversion"/>
  </si>
  <si>
    <t>햇반 210g</t>
    <phoneticPr fontId="3" type="noConversion"/>
  </si>
  <si>
    <r>
      <rPr>
        <sz val="11"/>
        <color rgb="FF000000"/>
        <rFont val="맑은 고딕"/>
        <family val="3"/>
        <charset val="129"/>
      </rPr>
      <t>햇반</t>
    </r>
    <r>
      <rPr>
        <sz val="11"/>
        <color rgb="FF000000"/>
        <rFont val="Arial"/>
        <family val="2"/>
      </rPr>
      <t xml:space="preserve"> 210g.jpg</t>
    </r>
    <phoneticPr fontId="3" type="noConversion"/>
  </si>
  <si>
    <t>맛있는 오뚜기밥 210g</t>
    <phoneticPr fontId="3" type="noConversion"/>
  </si>
  <si>
    <t>라면</t>
    <phoneticPr fontId="3" type="noConversion"/>
  </si>
  <si>
    <t>[</t>
    <phoneticPr fontId="3" type="noConversion"/>
  </si>
  <si>
    <r>
      <rPr>
        <sz val="11"/>
        <color rgb="FF000000"/>
        <rFont val="맑은 고딕"/>
        <family val="3"/>
        <charset val="129"/>
      </rPr>
      <t>맛있는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오뚜기밥</t>
    </r>
    <r>
      <rPr>
        <sz val="11"/>
        <color rgb="FF000000"/>
        <rFont val="Arial"/>
        <family val="3"/>
      </rPr>
      <t xml:space="preserve"> 210g</t>
    </r>
    <r>
      <rPr>
        <sz val="11"/>
        <color rgb="FF000000"/>
        <rFont val="Arial"/>
        <family val="2"/>
      </rPr>
      <t>.png</t>
    </r>
    <phoneticPr fontId="3" type="noConversion"/>
  </si>
  <si>
    <t>햇반흑미밥 130g</t>
    <phoneticPr fontId="3" type="noConversion"/>
  </si>
  <si>
    <t>햇반 매일잡곡밥 210g</t>
    <phoneticPr fontId="3" type="noConversion"/>
  </si>
  <si>
    <r>
      <rPr>
        <sz val="11"/>
        <color rgb="FF000000"/>
        <rFont val="맑은 고딕"/>
        <family val="3"/>
        <charset val="129"/>
      </rPr>
      <t>햇반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&quot;맑은 고딕&quot;"/>
        <family val="3"/>
        <charset val="129"/>
      </rPr>
      <t>매일잡곡밥</t>
    </r>
    <r>
      <rPr>
        <sz val="11"/>
        <color rgb="FF000000"/>
        <rFont val="Arial"/>
        <family val="3"/>
      </rPr>
      <t xml:space="preserve"> 210g</t>
    </r>
    <r>
      <rPr>
        <sz val="11"/>
        <color rgb="FF000000"/>
        <rFont val="Arial"/>
        <family val="2"/>
      </rPr>
      <t>.jpg</t>
    </r>
    <phoneticPr fontId="3" type="noConversion"/>
  </si>
  <si>
    <r>
      <rPr>
        <sz val="11"/>
        <color rgb="FF000000"/>
        <rFont val="맑은 고딕"/>
        <family val="3"/>
        <charset val="129"/>
      </rPr>
      <t>햇반흑미밥</t>
    </r>
    <r>
      <rPr>
        <sz val="11"/>
        <color rgb="FF000000"/>
        <rFont val="Arial"/>
        <family val="3"/>
      </rPr>
      <t xml:space="preserve"> 130g</t>
    </r>
    <r>
      <rPr>
        <sz val="11"/>
        <color rgb="FF000000"/>
        <rFont val="Arial"/>
        <family val="2"/>
      </rPr>
      <t>.jpg</t>
    </r>
    <phoneticPr fontId="3" type="noConversion"/>
  </si>
  <si>
    <t>코주부 CLASSIC 육포 Mild 130g</t>
    <phoneticPr fontId="3" type="noConversion"/>
  </si>
  <si>
    <r>
      <rPr>
        <sz val="11"/>
        <color rgb="FF000000"/>
        <rFont val="맑은 고딕"/>
        <family val="3"/>
        <charset val="129"/>
      </rPr>
      <t>코주부</t>
    </r>
    <r>
      <rPr>
        <sz val="11"/>
        <color rgb="FF000000"/>
        <rFont val="Arial"/>
        <family val="3"/>
      </rPr>
      <t xml:space="preserve"> CLASSIC </t>
    </r>
    <r>
      <rPr>
        <sz val="11"/>
        <color rgb="FF000000"/>
        <rFont val="&quot;맑은 고딕&quot;"/>
        <family val="3"/>
        <charset val="129"/>
      </rPr>
      <t>육포</t>
    </r>
    <r>
      <rPr>
        <sz val="11"/>
        <color rgb="FF000000"/>
        <rFont val="Arial"/>
        <family val="3"/>
      </rPr>
      <t xml:space="preserve"> Mild 130g.jpg</t>
    </r>
    <phoneticPr fontId="3" type="noConversion"/>
  </si>
  <si>
    <t>코주부 CLASSIC 육포 HOT &amp; SPICY 130g</t>
    <phoneticPr fontId="3" type="noConversion"/>
  </si>
  <si>
    <r>
      <rPr>
        <sz val="11"/>
        <color rgb="FF000000"/>
        <rFont val="맑은 고딕"/>
        <family val="3"/>
        <charset val="129"/>
      </rPr>
      <t>코주부</t>
    </r>
    <r>
      <rPr>
        <sz val="11"/>
        <color rgb="FF000000"/>
        <rFont val="Arial"/>
        <family val="3"/>
      </rPr>
      <t xml:space="preserve"> CLASSIC </t>
    </r>
    <r>
      <rPr>
        <sz val="11"/>
        <color rgb="FF000000"/>
        <rFont val="&quot;맑은 고딕&quot;"/>
        <family val="3"/>
        <charset val="129"/>
      </rPr>
      <t>육포</t>
    </r>
    <r>
      <rPr>
        <sz val="11"/>
        <color rgb="FF000000"/>
        <rFont val="Arial"/>
        <family val="3"/>
      </rPr>
      <t xml:space="preserve"> HOT &amp; SPICY 130g.jpg</t>
    </r>
    <phoneticPr fontId="3" type="noConversion"/>
  </si>
  <si>
    <t>오뚜기 컵누들 매콤한 맛</t>
    <phoneticPr fontId="3" type="noConversion"/>
  </si>
  <si>
    <r>
      <rPr>
        <sz val="11"/>
        <color rgb="FF000000"/>
        <rFont val="맑은 고딕"/>
        <family val="3"/>
        <charset val="129"/>
      </rPr>
      <t>오뚜기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&quot;맑은 고딕&quot;"/>
        <family val="3"/>
        <charset val="129"/>
      </rPr>
      <t>컵누들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&quot;맑은 고딕&quot;"/>
        <family val="3"/>
        <charset val="129"/>
      </rPr>
      <t>매콤한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&quot;맑은 고딕&quot;"/>
        <family val="3"/>
        <charset val="129"/>
      </rPr>
      <t>맛</t>
    </r>
    <r>
      <rPr>
        <sz val="11"/>
        <color rgb="FF000000"/>
        <rFont val="Arial"/>
        <family val="2"/>
      </rPr>
      <t>.jpg</t>
    </r>
    <phoneticPr fontId="3" type="noConversion"/>
  </si>
  <si>
    <r>
      <rPr>
        <b/>
        <sz val="10"/>
        <color rgb="FF000000"/>
        <rFont val="맑은 고딕"/>
        <family val="3"/>
        <charset val="129"/>
      </rPr>
      <t>분류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 Unicode MS"/>
        <family val="2"/>
        <charset val="129"/>
      </rPr>
      <t>코드</t>
    </r>
    <phoneticPr fontId="3" type="noConversion"/>
  </si>
  <si>
    <t>TYPE_CODE</t>
    <phoneticPr fontId="3" type="noConversion"/>
  </si>
  <si>
    <t>03</t>
    <phoneticPr fontId="3" type="noConversion"/>
  </si>
  <si>
    <t>01</t>
    <phoneticPr fontId="3" type="noConversion"/>
  </si>
  <si>
    <t>02</t>
    <phoneticPr fontId="3" type="noConversion"/>
  </si>
  <si>
    <r>
      <rPr>
        <b/>
        <sz val="10"/>
        <color rgb="FF000000"/>
        <rFont val="맑은 고딕"/>
        <family val="3"/>
        <charset val="129"/>
      </rPr>
      <t>상세분류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 Unicode MS"/>
        <family val="2"/>
        <charset val="129"/>
      </rPr>
      <t>코드</t>
    </r>
    <phoneticPr fontId="3" type="noConversion"/>
  </si>
  <si>
    <t>TYPE_DTL_CODE</t>
    <phoneticPr fontId="3" type="noConversion"/>
  </si>
  <si>
    <t>0101</t>
    <phoneticPr fontId="3" type="noConversion"/>
  </si>
  <si>
    <t>0102</t>
    <phoneticPr fontId="3" type="noConversion"/>
  </si>
  <si>
    <t>0103</t>
    <phoneticPr fontId="3" type="noConversion"/>
  </si>
  <si>
    <t>0104</t>
    <phoneticPr fontId="3" type="noConversion"/>
  </si>
  <si>
    <t>0105</t>
    <phoneticPr fontId="3" type="noConversion"/>
  </si>
  <si>
    <t>0106</t>
    <phoneticPr fontId="3" type="noConversion"/>
  </si>
  <si>
    <t>0107</t>
    <phoneticPr fontId="3" type="noConversion"/>
  </si>
  <si>
    <t>0108</t>
    <phoneticPr fontId="3" type="noConversion"/>
  </si>
  <si>
    <t>0109</t>
    <phoneticPr fontId="3" type="noConversion"/>
  </si>
  <si>
    <t>0201</t>
    <phoneticPr fontId="3" type="noConversion"/>
  </si>
  <si>
    <t>0202</t>
    <phoneticPr fontId="3" type="noConversion"/>
  </si>
  <si>
    <t>0203</t>
    <phoneticPr fontId="3" type="noConversion"/>
  </si>
  <si>
    <t>0204</t>
    <phoneticPr fontId="3" type="noConversion"/>
  </si>
  <si>
    <t>0205</t>
    <phoneticPr fontId="3" type="noConversion"/>
  </si>
  <si>
    <t>0301</t>
    <phoneticPr fontId="3" type="noConversion"/>
  </si>
  <si>
    <t>0302</t>
    <phoneticPr fontId="3" type="noConversion"/>
  </si>
  <si>
    <t>0303</t>
    <phoneticPr fontId="3" type="noConversion"/>
  </si>
  <si>
    <t>0304</t>
    <phoneticPr fontId="3" type="noConversion"/>
  </si>
  <si>
    <t>즉석밥</t>
    <phoneticPr fontId="3" type="noConversion"/>
  </si>
  <si>
    <t>토너</t>
    <phoneticPr fontId="3" type="noConversion"/>
  </si>
  <si>
    <t>닥터지 레드 블레미쉬 클리어 수딩 토너, 500ml</t>
    <phoneticPr fontId="3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</si>
  <si>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레드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블레미쉬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클리어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수딩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Arial Unicode MS"/>
        <family val="3"/>
        <charset val="129"/>
      </rPr>
      <t>토너</t>
    </r>
    <r>
      <rPr>
        <sz val="11"/>
        <color rgb="FF000000"/>
        <rFont val="Arial"/>
        <family val="3"/>
      </rPr>
      <t>, 500ml</t>
    </r>
    <r>
      <rPr>
        <sz val="11"/>
        <color rgb="FF000000"/>
        <rFont val="Arial"/>
        <family val="2"/>
      </rPr>
      <t>.jpg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</si>
  <si>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그라스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디퓨저</t>
    </r>
    <r>
      <rPr>
        <sz val="11"/>
        <color rgb="FF000000"/>
        <rFont val="Arial"/>
        <family val="2"/>
        <scheme val="minor"/>
      </rPr>
      <t xml:space="preserve"> 105ml </t>
    </r>
    <r>
      <rPr>
        <sz val="11"/>
        <color rgb="FF000000"/>
        <rFont val="Arial"/>
        <family val="3"/>
        <charset val="129"/>
        <scheme val="minor"/>
      </rPr>
      <t>블랙베리</t>
    </r>
    <r>
      <rPr>
        <sz val="11"/>
        <color rgb="FF000000"/>
        <rFont val="Arial"/>
        <family val="2"/>
        <scheme val="minor"/>
      </rPr>
      <t>&amp;</t>
    </r>
    <r>
      <rPr>
        <sz val="11"/>
        <color rgb="FF000000"/>
        <rFont val="Arial"/>
        <family val="3"/>
        <charset val="129"/>
        <scheme val="minor"/>
      </rPr>
      <t>체리</t>
    </r>
  </si>
  <si>
    <r>
      <rPr>
        <sz val="11"/>
        <color rgb="FF000000"/>
        <rFont val="Arial"/>
        <family val="3"/>
        <charset val="129"/>
        <scheme val="minor"/>
      </rPr>
      <t>뉴트로지나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딥클린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아크네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포밍</t>
    </r>
  </si>
  <si>
    <r>
      <rPr>
        <sz val="11"/>
        <color rgb="FF000000"/>
        <rFont val="Arial"/>
        <family val="3"/>
        <charset val="129"/>
        <scheme val="minor"/>
      </rPr>
      <t>다우니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프리미엄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세탁세제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액체형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실내건조</t>
    </r>
  </si>
  <si>
    <r>
      <rPr>
        <sz val="11"/>
        <color rgb="FF000000"/>
        <rFont val="Arial"/>
        <family val="3"/>
        <charset val="129"/>
        <scheme val="minor"/>
      </rPr>
      <t>다이아몬드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리페어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퍼펙트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세트</t>
    </r>
  </si>
  <si>
    <r>
      <rPr>
        <sz val="11"/>
        <color rgb="FF000000"/>
        <rFont val="Arial"/>
        <family val="3"/>
        <charset val="129"/>
        <scheme val="minor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레드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블레미쉬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모이스처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클렌징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폼</t>
    </r>
  </si>
  <si>
    <r>
      <rPr>
        <sz val="11"/>
        <color rgb="FF000000"/>
        <rFont val="Arial"/>
        <family val="2"/>
        <charset val="129"/>
        <scheme val="minor"/>
      </rPr>
      <t>토너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</si>
  <si>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레드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블레미쉬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클리어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수딩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토너</t>
    </r>
    <r>
      <rPr>
        <sz val="11"/>
        <color rgb="FF000000"/>
        <rFont val="Arial"/>
        <family val="2"/>
        <scheme val="minor"/>
      </rPr>
      <t>, 500ml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</si>
  <si>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로얄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블랙스네일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크림</t>
    </r>
  </si>
  <si>
    <r>
      <rPr>
        <sz val="11"/>
        <color rgb="FF000000"/>
        <rFont val="Arial"/>
        <family val="3"/>
        <charset val="129"/>
        <scheme val="minor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메디유브이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울트라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선</t>
    </r>
    <r>
      <rPr>
        <sz val="11"/>
        <color rgb="FF000000"/>
        <rFont val="Arial"/>
        <family val="2"/>
        <scheme val="minor"/>
      </rPr>
      <t xml:space="preserve"> 50ml</t>
    </r>
  </si>
  <si>
    <r>
      <rPr>
        <sz val="11"/>
        <color rgb="FF000000"/>
        <rFont val="Arial"/>
        <family val="3"/>
        <charset val="129"/>
        <scheme val="minor"/>
      </rPr>
      <t>마녀공장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비피다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바이옴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수분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장벽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강화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크림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기획세트</t>
    </r>
  </si>
  <si>
    <r>
      <rPr>
        <sz val="11"/>
        <color rgb="FF000000"/>
        <rFont val="Arial"/>
        <family val="3"/>
        <charset val="129"/>
        <scheme val="minor"/>
      </rPr>
      <t>맛있는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오뚜기밥</t>
    </r>
    <r>
      <rPr>
        <sz val="11"/>
        <color rgb="FF000000"/>
        <rFont val="Arial"/>
        <family val="2"/>
        <scheme val="minor"/>
      </rPr>
      <t xml:space="preserve"> 210g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</si>
  <si>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메디힐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디엔에이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프로아틴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마스크</t>
    </r>
  </si>
  <si>
    <r>
      <rPr>
        <sz val="11"/>
        <color rgb="FF000000"/>
        <rFont val="Arial"/>
        <family val="3"/>
        <charset val="129"/>
        <scheme val="minor"/>
      </rPr>
      <t>몬스터에너지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울트라</t>
    </r>
    <r>
      <rPr>
        <sz val="11"/>
        <color rgb="FF000000"/>
        <rFont val="Arial"/>
        <family val="2"/>
        <scheme val="minor"/>
      </rPr>
      <t xml:space="preserve"> 355ml</t>
    </r>
  </si>
  <si>
    <r>
      <rPr>
        <sz val="11"/>
        <color rgb="FF000000"/>
        <rFont val="Arial"/>
        <family val="3"/>
        <charset val="129"/>
        <scheme val="minor"/>
      </rPr>
      <t>박카스맛젤리</t>
    </r>
  </si>
  <si>
    <r>
      <rPr>
        <sz val="11"/>
        <color rgb="FF000000"/>
        <rFont val="Arial"/>
        <family val="3"/>
        <charset val="129"/>
        <scheme val="minor"/>
      </rPr>
      <t>비트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마사지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건</t>
    </r>
    <r>
      <rPr>
        <sz val="11"/>
        <color rgb="FF000000"/>
        <rFont val="Arial"/>
        <family val="2"/>
        <scheme val="minor"/>
      </rPr>
      <t xml:space="preserve"> HMS-12</t>
    </r>
  </si>
  <si>
    <r>
      <rPr>
        <sz val="11"/>
        <color rgb="FF000000"/>
        <rFont val="Arial"/>
        <family val="3"/>
        <charset val="129"/>
        <scheme val="minor"/>
      </rPr>
      <t>아이소이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탄력크림</t>
    </r>
    <r>
      <rPr>
        <sz val="11"/>
        <color rgb="FF000000"/>
        <rFont val="Arial"/>
        <family val="2"/>
        <scheme val="minor"/>
      </rPr>
      <t>EX</t>
    </r>
  </si>
  <si>
    <r>
      <rPr>
        <sz val="11"/>
        <color rgb="FF000000"/>
        <rFont val="Arial"/>
        <family val="3"/>
        <charset val="129"/>
        <scheme val="minor"/>
      </rPr>
      <t>에멜시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차량용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방향제</t>
    </r>
    <r>
      <rPr>
        <sz val="11"/>
        <color rgb="FF000000"/>
        <rFont val="Arial"/>
        <family val="2"/>
        <scheme val="minor"/>
      </rPr>
      <t xml:space="preserve"> 170ml </t>
    </r>
    <r>
      <rPr>
        <sz val="11"/>
        <color rgb="FF000000"/>
        <rFont val="Arial"/>
        <family val="3"/>
        <charset val="129"/>
        <scheme val="minor"/>
      </rPr>
      <t>헤블린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오션</t>
    </r>
  </si>
  <si>
    <r>
      <rPr>
        <sz val="11"/>
        <color rgb="FF000000"/>
        <rFont val="Arial"/>
        <family val="2"/>
        <charset val="129"/>
        <scheme val="minor"/>
      </rPr>
      <t>라면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</si>
  <si>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오뚜기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컵누들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매콤한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맛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</si>
  <si>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이니스프리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퍼펙트</t>
    </r>
    <r>
      <rPr>
        <sz val="11"/>
        <color rgb="FF000000"/>
        <rFont val="Arial"/>
        <family val="2"/>
        <scheme val="minor"/>
      </rPr>
      <t>9</t>
    </r>
    <r>
      <rPr>
        <sz val="11"/>
        <color rgb="FF000000"/>
        <rFont val="Arial"/>
        <family val="3"/>
        <charset val="129"/>
        <scheme val="minor"/>
      </rPr>
      <t>인텐시브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크림</t>
    </r>
  </si>
  <si>
    <r>
      <rPr>
        <sz val="11"/>
        <color rgb="FF000000"/>
        <rFont val="Arial"/>
        <family val="3"/>
        <charset val="129"/>
        <scheme val="minor"/>
      </rPr>
      <t>이클립스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페퍼민트향</t>
    </r>
    <r>
      <rPr>
        <sz val="11"/>
        <color rgb="FF000000"/>
        <rFont val="Arial"/>
        <family val="2"/>
        <scheme val="minor"/>
      </rPr>
      <t xml:space="preserve"> 34g</t>
    </r>
  </si>
  <si>
    <r>
      <rPr>
        <sz val="11"/>
        <color rgb="FF000000"/>
        <rFont val="Arial"/>
        <family val="3"/>
        <charset val="129"/>
        <scheme val="minor"/>
      </rPr>
      <t>이클립스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피치향</t>
    </r>
    <r>
      <rPr>
        <sz val="11"/>
        <color rgb="FF000000"/>
        <rFont val="Arial"/>
        <family val="2"/>
        <scheme val="minor"/>
      </rPr>
      <t xml:space="preserve"> 34g</t>
    </r>
  </si>
  <si>
    <r>
      <rPr>
        <sz val="11"/>
        <color rgb="FF000000"/>
        <rFont val="Arial"/>
        <family val="3"/>
        <charset val="129"/>
        <scheme val="minor"/>
      </rPr>
      <t>쟈뎅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아워티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콤푸차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레몬</t>
    </r>
    <r>
      <rPr>
        <sz val="11"/>
        <color rgb="FF000000"/>
        <rFont val="Arial"/>
        <family val="2"/>
        <scheme val="minor"/>
      </rPr>
      <t xml:space="preserve"> 10p</t>
    </r>
  </si>
  <si>
    <r>
      <rPr>
        <sz val="11"/>
        <color rgb="FF000000"/>
        <rFont val="Arial"/>
        <family val="3"/>
        <charset val="129"/>
        <scheme val="minor"/>
      </rPr>
      <t>쟈뎅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아워티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콤푸차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베리</t>
    </r>
    <r>
      <rPr>
        <sz val="11"/>
        <color rgb="FF000000"/>
        <rFont val="Arial"/>
        <family val="2"/>
        <scheme val="minor"/>
      </rPr>
      <t xml:space="preserve"> 10p</t>
    </r>
  </si>
  <si>
    <r>
      <rPr>
        <sz val="11"/>
        <color rgb="FF000000"/>
        <rFont val="Arial"/>
        <family val="3"/>
        <charset val="129"/>
        <scheme val="minor"/>
      </rPr>
      <t>쟈뎅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아워티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콤푸차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자몽</t>
    </r>
    <r>
      <rPr>
        <sz val="11"/>
        <color rgb="FF000000"/>
        <rFont val="Arial"/>
        <family val="2"/>
        <scheme val="minor"/>
      </rPr>
      <t xml:space="preserve"> 10p</t>
    </r>
  </si>
  <si>
    <r>
      <rPr>
        <sz val="11"/>
        <color rgb="FF000000"/>
        <rFont val="Arial"/>
        <family val="3"/>
        <charset val="129"/>
        <scheme val="minor"/>
      </rPr>
      <t>질레트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프로쉴드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옐로우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면도날</t>
    </r>
    <r>
      <rPr>
        <sz val="11"/>
        <color rgb="FF000000"/>
        <rFont val="Arial"/>
        <family val="2"/>
        <scheme val="minor"/>
      </rPr>
      <t xml:space="preserve"> 4</t>
    </r>
    <r>
      <rPr>
        <sz val="11"/>
        <color rgb="FF000000"/>
        <rFont val="Arial"/>
        <family val="3"/>
        <charset val="129"/>
        <scheme val="minor"/>
      </rPr>
      <t>입</t>
    </r>
  </si>
  <si>
    <r>
      <rPr>
        <sz val="11"/>
        <color rgb="FF000000"/>
        <rFont val="Arial"/>
        <family val="3"/>
        <charset val="129"/>
        <scheme val="minor"/>
      </rPr>
      <t>코주부</t>
    </r>
    <r>
      <rPr>
        <sz val="11"/>
        <color rgb="FF000000"/>
        <rFont val="Arial"/>
        <family val="2"/>
        <scheme val="minor"/>
      </rPr>
      <t xml:space="preserve"> CLASSIC </t>
    </r>
    <r>
      <rPr>
        <sz val="11"/>
        <color rgb="FF000000"/>
        <rFont val="Arial"/>
        <family val="3"/>
        <charset val="129"/>
        <scheme val="minor"/>
      </rPr>
      <t>육포</t>
    </r>
    <r>
      <rPr>
        <sz val="11"/>
        <color rgb="FF000000"/>
        <rFont val="Arial"/>
        <family val="2"/>
        <scheme val="minor"/>
      </rPr>
      <t xml:space="preserve"> HOT &amp; SPICY 130g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</si>
  <si>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코주부</t>
    </r>
    <r>
      <rPr>
        <sz val="11"/>
        <color rgb="FF000000"/>
        <rFont val="Arial"/>
        <family val="2"/>
        <scheme val="minor"/>
      </rPr>
      <t xml:space="preserve"> CLASSIC </t>
    </r>
    <r>
      <rPr>
        <sz val="11"/>
        <color rgb="FF000000"/>
        <rFont val="Arial"/>
        <family val="3"/>
        <charset val="129"/>
        <scheme val="minor"/>
      </rPr>
      <t>육포</t>
    </r>
    <r>
      <rPr>
        <sz val="11"/>
        <color rgb="FF000000"/>
        <rFont val="Arial"/>
        <family val="2"/>
        <scheme val="minor"/>
      </rPr>
      <t xml:space="preserve"> Mild 130g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</si>
  <si>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퀘이커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마시는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단백질</t>
    </r>
    <r>
      <rPr>
        <sz val="11"/>
        <color rgb="FF000000"/>
        <rFont val="Arial"/>
        <family val="2"/>
        <scheme val="minor"/>
      </rPr>
      <t>, 80g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</si>
  <si>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퀘이커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마시는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</t>
    </r>
    <r>
      <rPr>
        <sz val="11"/>
        <color rgb="FF000000"/>
        <rFont val="Arial"/>
        <family val="2"/>
        <scheme val="minor"/>
      </rPr>
      <t>&amp;</t>
    </r>
    <r>
      <rPr>
        <sz val="11"/>
        <color rgb="FF000000"/>
        <rFont val="Arial"/>
        <family val="3"/>
        <charset val="129"/>
        <scheme val="minor"/>
      </rPr>
      <t>우리쌀</t>
    </r>
    <r>
      <rPr>
        <sz val="11"/>
        <color rgb="FF000000"/>
        <rFont val="Arial"/>
        <family val="2"/>
        <scheme val="minor"/>
      </rPr>
      <t>, 50g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</si>
  <si>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퀘이커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마시는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찰옥수수</t>
    </r>
    <r>
      <rPr>
        <sz val="11"/>
        <color rgb="FF000000"/>
        <rFont val="Arial"/>
        <family val="2"/>
        <scheme val="minor"/>
      </rPr>
      <t>, 50g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</si>
  <si>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퀘이커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마시는오트밀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</t>
    </r>
    <r>
      <rPr>
        <sz val="11"/>
        <color rgb="FF000000"/>
        <rFont val="Arial"/>
        <family val="2"/>
        <scheme val="minor"/>
      </rPr>
      <t>&amp;</t>
    </r>
    <r>
      <rPr>
        <sz val="11"/>
        <color rgb="FF000000"/>
        <rFont val="Arial"/>
        <family val="3"/>
        <charset val="129"/>
        <scheme val="minor"/>
      </rPr>
      <t>그레인</t>
    </r>
    <r>
      <rPr>
        <sz val="11"/>
        <color rgb="FF000000"/>
        <rFont val="Arial"/>
        <family val="2"/>
        <scheme val="minor"/>
      </rPr>
      <t>, 50g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</si>
  <si>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키커바</t>
    </r>
  </si>
  <si>
    <r>
      <rPr>
        <sz val="11"/>
        <color rgb="FF000000"/>
        <rFont val="Arial"/>
        <family val="3"/>
        <charset val="129"/>
        <scheme val="minor"/>
      </rPr>
      <t>펩시제로슈거라임</t>
    </r>
    <r>
      <rPr>
        <sz val="11"/>
        <color rgb="FF000000"/>
        <rFont val="Arial"/>
        <family val="2"/>
        <scheme val="minor"/>
      </rPr>
      <t xml:space="preserve"> 500ml</t>
    </r>
  </si>
  <si>
    <r>
      <rPr>
        <sz val="11"/>
        <color rgb="FF000000"/>
        <rFont val="Arial"/>
        <family val="3"/>
        <charset val="129"/>
        <scheme val="minor"/>
      </rPr>
      <t>프링글스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리치치즈갈릭</t>
    </r>
  </si>
  <si>
    <r>
      <rPr>
        <sz val="11"/>
        <color rgb="FF000000"/>
        <rFont val="Arial"/>
        <family val="3"/>
        <charset val="129"/>
        <scheme val="minor"/>
      </rPr>
      <t>프링글스양파맛</t>
    </r>
  </si>
  <si>
    <r>
      <rPr>
        <sz val="11"/>
        <color rgb="FF000000"/>
        <rFont val="Arial"/>
        <family val="3"/>
        <charset val="129"/>
        <scheme val="minor"/>
      </rPr>
      <t>핫식스더킹파워</t>
    </r>
    <r>
      <rPr>
        <sz val="11"/>
        <color rgb="FF000000"/>
        <rFont val="Arial"/>
        <family val="2"/>
        <scheme val="minor"/>
      </rPr>
      <t xml:space="preserve"> 355ml</t>
    </r>
  </si>
  <si>
    <r>
      <rPr>
        <sz val="11"/>
        <color rgb="FF000000"/>
        <rFont val="Arial"/>
        <family val="3"/>
        <charset val="129"/>
        <scheme val="minor"/>
      </rPr>
      <t>햇반</t>
    </r>
    <r>
      <rPr>
        <sz val="11"/>
        <color rgb="FF000000"/>
        <rFont val="Arial"/>
        <family val="2"/>
        <scheme val="minor"/>
      </rPr>
      <t xml:space="preserve"> 130g</t>
    </r>
  </si>
  <si>
    <r>
      <rPr>
        <sz val="11"/>
        <color rgb="FF000000"/>
        <rFont val="Arial"/>
        <family val="3"/>
        <charset val="129"/>
        <scheme val="minor"/>
      </rPr>
      <t>햇반</t>
    </r>
    <r>
      <rPr>
        <sz val="11"/>
        <color rgb="FF000000"/>
        <rFont val="Arial"/>
        <family val="2"/>
        <scheme val="minor"/>
      </rPr>
      <t xml:space="preserve"> 210g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</si>
  <si>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햇반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매일잡곡밥</t>
    </r>
    <r>
      <rPr>
        <sz val="11"/>
        <color rgb="FF000000"/>
        <rFont val="Arial"/>
        <family val="2"/>
        <scheme val="minor"/>
      </rPr>
      <t xml:space="preserve"> 210g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</si>
  <si>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햇반흑미밥</t>
    </r>
    <r>
      <rPr>
        <sz val="11"/>
        <color rgb="FF000000"/>
        <rFont val="Arial"/>
        <family val="2"/>
        <scheme val="minor"/>
      </rPr>
      <t xml:space="preserve"> 130g</t>
    </r>
    <phoneticPr fontId="3" type="noConversion"/>
  </si>
  <si>
    <r>
      <rPr>
        <sz val="11"/>
        <color rgb="FF000000"/>
        <rFont val="Arial"/>
        <family val="2"/>
        <charset val="129"/>
        <scheme val="minor"/>
      </rPr>
      <t>영양제</t>
    </r>
    <phoneticPr fontId="3" type="noConversion"/>
  </si>
  <si>
    <r>
      <rPr>
        <b/>
        <sz val="11"/>
        <color rgb="FF000000"/>
        <rFont val="Arial"/>
        <family val="3"/>
        <charset val="129"/>
        <scheme val="minor"/>
      </rPr>
      <t>판매가</t>
    </r>
  </si>
  <si>
    <r>
      <rPr>
        <b/>
        <sz val="11"/>
        <color rgb="FF000000"/>
        <rFont val="Arial"/>
        <family val="3"/>
        <charset val="129"/>
        <scheme val="minor"/>
      </rPr>
      <t>이미지</t>
    </r>
  </si>
  <si>
    <t>기타</t>
    <phoneticPr fontId="3" type="noConversion"/>
  </si>
  <si>
    <t>2080닥터크리닉잇몸치약(3개 묶음)</t>
  </si>
  <si>
    <t>AIR MESH 로카티 GMR904</t>
  </si>
  <si>
    <t>고농축피죤 써니가든 1.6L</t>
  </si>
  <si>
    <t>고농축피죤 플라워페스티벌 2.3L</t>
  </si>
  <si>
    <t>꿀타이밍 야생화스틱15T</t>
  </si>
  <si>
    <t>듀이트리 울트라 바이탈라이징 스네일 달팽이 3종 세트</t>
  </si>
  <si>
    <t>라운드랩 1025 독도 토너 대용량, 500ml</t>
  </si>
  <si>
    <t>마데카메디패치스팟패피 51매</t>
  </si>
  <si>
    <t>맛나요 오튀</t>
  </si>
  <si>
    <t>메디안 미백과학 치약 플럼민트향</t>
  </si>
  <si>
    <t>메디안덴탈IQ미백케어치약</t>
  </si>
  <si>
    <t>메디힐 WHP 미백수분 블랙마스크</t>
  </si>
  <si>
    <t>몽쉘카카오케이크</t>
  </si>
  <si>
    <t>미림</t>
  </si>
  <si>
    <t>미샤 오일컨트롤페이퍼</t>
  </si>
  <si>
    <t>밀키스제로</t>
  </si>
  <si>
    <t>바싹한 미니버터 크룽지</t>
  </si>
  <si>
    <t>박카스</t>
  </si>
  <si>
    <t>백설 자일로스 설탈</t>
  </si>
  <si>
    <t>백설 찍어먹는 트러플 솔트</t>
  </si>
  <si>
    <t>뱅네프 생토노레 사봉파퓨메 177(비누)</t>
  </si>
  <si>
    <t>벡셀 알카라인건전지 aaa 4입</t>
  </si>
  <si>
    <t>벡셀알카라인건전지 aa 2입</t>
  </si>
  <si>
    <t>봉편촌메밀국수2호</t>
  </si>
  <si>
    <t>부케가르니 나드 샴푸 시그니처</t>
  </si>
  <si>
    <t>불스원 그라스 디퓨저 코튼향(차량방향제)</t>
  </si>
  <si>
    <t>뷰카 클래식 구취케어 치약 아쿠아</t>
  </si>
  <si>
    <t>비비고 오리지널 김스낵</t>
  </si>
  <si>
    <t>비트 트리플액션 2.8L(일반)</t>
  </si>
  <si>
    <t>빅파이딸기(중)</t>
  </si>
  <si>
    <t>빈츠초콜릿</t>
  </si>
  <si>
    <t>빼빼로</t>
  </si>
  <si>
    <t>생활도감 혀클리너(화이트)</t>
  </si>
  <si>
    <t>센카 퍼팩트 휩 페이셜 워시</t>
  </si>
  <si>
    <t>센텔리안 24 마데카 베리어 바디로션</t>
  </si>
  <si>
    <t>센텔리안 24 마데카 옴프 올인원</t>
  </si>
  <si>
    <t>센텔리안24 링클셀 코어 아이크림</t>
  </si>
  <si>
    <t>셀시어스 스파클링 오렌지맛</t>
  </si>
  <si>
    <t>셀퓨전씨 데일리 리페어 레이저크림</t>
  </si>
  <si>
    <t>셀퓨젼시 카밍다운크림</t>
  </si>
  <si>
    <t>스낵면</t>
  </si>
  <si>
    <t>스킨유 이노센트 컴포티우디 샤워젤</t>
  </si>
  <si>
    <t>스팀베이스 데일리 아이마스크 라벤더</t>
  </si>
  <si>
    <t>스페셜k 오리지날</t>
  </si>
  <si>
    <t>아누아 어성초 80 수분 진정 앰플</t>
  </si>
  <si>
    <t>아누아 어성초70 데일리 로션 200ml</t>
  </si>
  <si>
    <t>아몬드 빼빼로</t>
  </si>
  <si>
    <t>아몬드초코볼</t>
  </si>
  <si>
    <t>아몬드푸레이크</t>
  </si>
  <si>
    <t>아비브 부활초 크림 뉴트리션 튜브</t>
  </si>
  <si>
    <t xml:space="preserve">아비브 수분초 콜라겐 젤 마스크팩 </t>
  </si>
  <si>
    <t>아비브 아크네 폼 클렌저 어성초</t>
  </si>
  <si>
    <t>아비브 약산성 pH 시트 마스크</t>
  </si>
  <si>
    <t>아비브 어성초 에센스 카밍펌프</t>
  </si>
  <si>
    <t>아비브 콜라겐 겔마스크 수분초 젤</t>
  </si>
  <si>
    <t>아워티 핑크리치 캐모마일티 8p</t>
  </si>
  <si>
    <t>아이소이 인텐시브 리프팅 스팟</t>
  </si>
  <si>
    <t>안성탕면</t>
  </si>
  <si>
    <t>액츠프리미엄젤 프레쉬</t>
  </si>
  <si>
    <t>엄마손파이</t>
  </si>
  <si>
    <t>에코버 울세탁세제 허니듀</t>
  </si>
  <si>
    <t>옛날볶음참깨</t>
  </si>
  <si>
    <t>왕고래밥볶음양념맛</t>
  </si>
  <si>
    <t>이니스프리 시카밤</t>
  </si>
  <si>
    <t>이클립스 쿨링 소프트 캔디 레몬맛</t>
  </si>
  <si>
    <t>자민경크레마카발로 오일 투 폼(클렌징폼)</t>
  </si>
  <si>
    <t>제주앤팜 레몬차</t>
  </si>
  <si>
    <t>제주앤팜 한라봉차</t>
  </si>
  <si>
    <t>졸음번쩍껌 울트라파워</t>
  </si>
  <si>
    <t>진라면</t>
  </si>
  <si>
    <t>짜파게티</t>
  </si>
  <si>
    <t>짜파게티 만능소스</t>
  </si>
  <si>
    <t>첵스초코</t>
  </si>
  <si>
    <t>초코틴인틴</t>
  </si>
  <si>
    <t>초코파이</t>
  </si>
  <si>
    <t>칠성사이다제로(250ml)</t>
  </si>
  <si>
    <t>칠성사이다제로(500ml)</t>
  </si>
  <si>
    <t>칸타타아이스카라멜마키아토</t>
  </si>
  <si>
    <t>케라시스 러블리앤로맨틱 퍼퓸샴푸</t>
  </si>
  <si>
    <t>코오롱 런닝</t>
  </si>
  <si>
    <t>코오롱 스포츠 반팔 95</t>
  </si>
  <si>
    <t>콘트라베이스디카페인블랙</t>
  </si>
  <si>
    <t>쿠크다스케이크</t>
  </si>
  <si>
    <t>크라운산도딸기</t>
  </si>
  <si>
    <t>크런키 빼빼로</t>
  </si>
  <si>
    <t>키캣 4핑거</t>
  </si>
  <si>
    <t>탁터지 레드 블레미쉬 클리어 크림</t>
  </si>
  <si>
    <t>탑플롯젤리 망고맛</t>
  </si>
  <si>
    <t>테크 특유취 제거 2.7L(일반용)</t>
  </si>
  <si>
    <t>트러플오일</t>
  </si>
  <si>
    <t>티트리 퓨리파잉 토닉 100ml</t>
  </si>
  <si>
    <t>틴인틴</t>
  </si>
  <si>
    <t>퍼팩트 휩 페이셜 워시 에이</t>
  </si>
  <si>
    <t>프링글스</t>
  </si>
  <si>
    <t>프링글스 양파맛</t>
  </si>
  <si>
    <t>피시스낵 스파이스맛</t>
  </si>
  <si>
    <t>할리스 아메리카노 1000ml</t>
  </si>
  <si>
    <t>나랑드사이다 245ml</t>
  </si>
  <si>
    <t>나랑드사이다 그린애플 245ml</t>
  </si>
  <si>
    <t>나랑드사이다 파인애플 245ml</t>
  </si>
  <si>
    <t>맛다시</t>
  </si>
  <si>
    <t>아이브 부활초 크림 뉴트리션 튜브</t>
  </si>
  <si>
    <t>아이소이 블레미쉬 케어 업 크림</t>
  </si>
  <si>
    <t>액티브 프로 바이오틱스</t>
  </si>
  <si>
    <t>엘지생활건강 히말라야 핑크솔트 담은 펌핑 치약 아이스 카밍 민트 285g</t>
  </si>
  <si>
    <t>핫식스더킹크러쉬피치 355ml</t>
  </si>
  <si>
    <t>면도크림</t>
    <phoneticPr fontId="3" type="noConversion"/>
  </si>
  <si>
    <t>에센스</t>
    <phoneticPr fontId="3" type="noConversion"/>
  </si>
  <si>
    <t>로션</t>
    <phoneticPr fontId="3" type="noConversion"/>
  </si>
  <si>
    <t>바디</t>
    <phoneticPr fontId="3" type="noConversion"/>
  </si>
  <si>
    <t>미정</t>
    <phoneticPr fontId="3" type="noConversion"/>
  </si>
  <si>
    <r>
      <t xml:space="preserve">AHC </t>
    </r>
    <r>
      <rPr>
        <sz val="11"/>
        <color rgb="FF000000"/>
        <rFont val="맑은 고딕"/>
        <family val="3"/>
        <charset val="129"/>
      </rPr>
      <t>에이치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멜라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루트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크림</t>
    </r>
    <r>
      <rPr>
        <sz val="11"/>
        <color rgb="FF000000"/>
        <rFont val="Arial"/>
        <family val="2"/>
        <scheme val="minor"/>
      </rPr>
      <t xml:space="preserve">(AHC </t>
    </r>
    <r>
      <rPr>
        <sz val="11"/>
        <color rgb="FF000000"/>
        <rFont val="맑은 고딕"/>
        <family val="3"/>
        <charset val="129"/>
      </rPr>
      <t>기미크림</t>
    </r>
    <r>
      <rPr>
        <sz val="11"/>
        <color rgb="FF000000"/>
        <rFont val="Arial"/>
        <family val="2"/>
        <scheme val="minor"/>
      </rPr>
      <t>)</t>
    </r>
    <phoneticPr fontId="3" type="noConversion"/>
  </si>
  <si>
    <r>
      <rPr>
        <sz val="11"/>
        <color rgb="FF000000"/>
        <rFont val="맑은 고딕"/>
        <family val="3"/>
        <charset val="129"/>
      </rPr>
      <t>니베아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맨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센서티브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쉐이빙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폼</t>
    </r>
    <r>
      <rPr>
        <sz val="11"/>
        <color rgb="FF000000"/>
        <rFont val="Arial"/>
        <family val="3"/>
      </rPr>
      <t>, 250ml</t>
    </r>
    <phoneticPr fontId="3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</si>
  <si>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블랙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스네일크림</t>
    </r>
    <r>
      <rPr>
        <sz val="11"/>
        <color rgb="FF000000"/>
        <rFont val="Arial"/>
        <family val="3"/>
      </rPr>
      <t>, 50ml</t>
    </r>
    <phoneticPr fontId="3" type="noConversion"/>
  </si>
  <si>
    <r>
      <rPr>
        <sz val="11"/>
        <color rgb="FF000000"/>
        <rFont val="맑은 고딕"/>
        <family val="3"/>
        <charset val="129"/>
      </rPr>
      <t>닥터자르트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바이탈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하이드라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솔루션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하이드로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플럼프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트리트먼트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에센스</t>
    </r>
    <r>
      <rPr>
        <sz val="11"/>
        <color rgb="FF000000"/>
        <rFont val="Arial"/>
        <family val="3"/>
      </rPr>
      <t>, 150ml</t>
    </r>
    <phoneticPr fontId="3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</si>
  <si>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그린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마일드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업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선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스틱,</t>
    </r>
    <r>
      <rPr>
        <sz val="11"/>
        <color rgb="FF000000"/>
        <rFont val="Arial"/>
        <family val="3"/>
      </rPr>
      <t xml:space="preserve"> 20g</t>
    </r>
    <phoneticPr fontId="3" type="noConversion"/>
  </si>
  <si>
    <t>const data = [</t>
    <phoneticPr fontId="3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</si>
  <si>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더모이스처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배리어</t>
    </r>
    <r>
      <rPr>
        <sz val="11"/>
        <color rgb="FF000000"/>
        <rFont val="Arial"/>
        <family val="3"/>
      </rPr>
      <t xml:space="preserve"> D </t>
    </r>
    <r>
      <rPr>
        <sz val="11"/>
        <color rgb="FF000000"/>
        <rFont val="맑은 고딕"/>
        <family val="3"/>
        <charset val="129"/>
      </rPr>
      <t>로션</t>
    </r>
    <r>
      <rPr>
        <sz val="11"/>
        <color rgb="FF000000"/>
        <rFont val="Arial"/>
        <family val="3"/>
      </rPr>
      <t>, 200ml</t>
    </r>
    <phoneticPr fontId="3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</si>
  <si>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레드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블레미쉬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클리어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크림,</t>
    </r>
    <r>
      <rPr>
        <sz val="11"/>
        <color rgb="FF000000"/>
        <rFont val="Arial"/>
        <family val="2"/>
        <scheme val="minor"/>
      </rPr>
      <t xml:space="preserve"> 70ml</t>
    </r>
    <phoneticPr fontId="3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</si>
  <si>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로얄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블랙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스네일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탄력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스페셜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세트</t>
    </r>
    <r>
      <rPr>
        <sz val="11"/>
        <color rgb="FF000000"/>
        <rFont val="Arial"/>
        <family val="3"/>
      </rPr>
      <t xml:space="preserve"> (</t>
    </r>
    <r>
      <rPr>
        <sz val="11"/>
        <color rgb="FF000000"/>
        <rFont val="맑은 고딕"/>
        <family val="3"/>
        <charset val="129"/>
      </rPr>
      <t>에센스</t>
    </r>
    <r>
      <rPr>
        <sz val="11"/>
        <color rgb="FF000000"/>
        <rFont val="Arial"/>
        <family val="3"/>
      </rPr>
      <t xml:space="preserve"> + </t>
    </r>
    <r>
      <rPr>
        <sz val="11"/>
        <color rgb="FF000000"/>
        <rFont val="맑은 고딕"/>
        <family val="3"/>
        <charset val="129"/>
      </rPr>
      <t>크림</t>
    </r>
    <r>
      <rPr>
        <sz val="11"/>
        <color rgb="FF000000"/>
        <rFont val="Arial"/>
        <family val="3"/>
      </rPr>
      <t xml:space="preserve"> + </t>
    </r>
    <r>
      <rPr>
        <sz val="11"/>
        <color rgb="FF000000"/>
        <rFont val="맑은 고딕"/>
        <family val="3"/>
        <charset val="129"/>
      </rPr>
      <t>아이크림</t>
    </r>
    <r>
      <rPr>
        <sz val="11"/>
        <color rgb="FF000000"/>
        <rFont val="Arial"/>
        <family val="3"/>
      </rPr>
      <t xml:space="preserve"> + </t>
    </r>
    <r>
      <rPr>
        <sz val="11"/>
        <color rgb="FF000000"/>
        <rFont val="맑은 고딕"/>
        <family val="3"/>
        <charset val="129"/>
      </rPr>
      <t>마스크팩</t>
    </r>
    <r>
      <rPr>
        <sz val="11"/>
        <color rgb="FF000000"/>
        <rFont val="Arial"/>
        <family val="3"/>
      </rPr>
      <t>)</t>
    </r>
    <phoneticPr fontId="3" type="noConversion"/>
  </si>
  <si>
    <t>라운드랩 1025 독도 수분 워터겔 마스크 30ml</t>
    <phoneticPr fontId="3" type="noConversion"/>
  </si>
  <si>
    <r>
      <rPr>
        <sz val="11"/>
        <color rgb="FF000000"/>
        <rFont val="맑은 고딕"/>
        <family val="3"/>
        <charset val="129"/>
      </rPr>
      <t>듀이트리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울트라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바이탈라이징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스네일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에센스워터,</t>
    </r>
    <r>
      <rPr>
        <sz val="11"/>
        <color rgb="FF000000"/>
        <rFont val="Arial"/>
        <family val="3"/>
      </rPr>
      <t xml:space="preserve"> 150ml</t>
    </r>
    <phoneticPr fontId="3" type="noConversion"/>
  </si>
  <si>
    <r>
      <rPr>
        <sz val="11"/>
        <color rgb="FF000000"/>
        <rFont val="맑은 고딕"/>
        <family val="3"/>
        <charset val="129"/>
      </rPr>
      <t>라운드랩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약콩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판테놀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크림</t>
    </r>
    <r>
      <rPr>
        <sz val="11"/>
        <color rgb="FF000000"/>
        <rFont val="Arial"/>
        <family val="3"/>
      </rPr>
      <t>, 80ml</t>
    </r>
    <phoneticPr fontId="3" type="noConversion"/>
  </si>
  <si>
    <r>
      <rPr>
        <sz val="11"/>
        <color rgb="FF000000"/>
        <rFont val="맑은 고딕"/>
        <family val="3"/>
        <charset val="129"/>
      </rPr>
      <t>마녀공장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퓨리파잉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소다폼</t>
    </r>
    <r>
      <rPr>
        <sz val="11"/>
        <color rgb="FF000000"/>
        <rFont val="Arial"/>
        <family val="3"/>
      </rPr>
      <t>, 150ml</t>
    </r>
    <phoneticPr fontId="3" type="noConversion"/>
  </si>
  <si>
    <r>
      <rPr>
        <sz val="11"/>
        <color rgb="FF000000"/>
        <rFont val="맑은 고딕"/>
        <family val="2"/>
        <charset val="129"/>
      </rPr>
      <t>청정원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2"/>
        <charset val="129"/>
      </rPr>
      <t>프리미엄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2"/>
        <charset val="129"/>
      </rPr>
      <t>굴소스</t>
    </r>
    <r>
      <rPr>
        <sz val="11"/>
        <color rgb="FF000000"/>
        <rFont val="Arial"/>
        <family val="2"/>
        <scheme val="minor"/>
      </rPr>
      <t>, 500g</t>
    </r>
    <phoneticPr fontId="3" type="noConversion"/>
  </si>
  <si>
    <t>질레트프로글라이드</t>
    <phoneticPr fontId="3" type="noConversion"/>
  </si>
  <si>
    <r>
      <t xml:space="preserve">ROKA </t>
    </r>
    <r>
      <rPr>
        <sz val="11"/>
        <color rgb="FF000000"/>
        <rFont val="맑은 고딕"/>
        <family val="3"/>
        <charset val="129"/>
      </rPr>
      <t>반팔티</t>
    </r>
    <phoneticPr fontId="3" type="noConversion"/>
  </si>
  <si>
    <r>
      <rPr>
        <sz val="11"/>
        <color rgb="FF000000"/>
        <rFont val="맑은 고딕"/>
        <family val="3"/>
        <charset val="129"/>
      </rPr>
      <t>오뚜기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가쓰오부시장국</t>
    </r>
    <r>
      <rPr>
        <sz val="11"/>
        <color rgb="FF000000"/>
        <rFont val="Arial"/>
        <family val="3"/>
      </rPr>
      <t>, 360ml</t>
    </r>
    <phoneticPr fontId="3" type="noConversion"/>
  </si>
  <si>
    <r>
      <rPr>
        <sz val="11"/>
        <color rgb="FF000000"/>
        <rFont val="맑은 고딕"/>
        <family val="3"/>
        <charset val="129"/>
      </rPr>
      <t>고소한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생각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참기름</t>
    </r>
    <phoneticPr fontId="3" type="noConversion"/>
  </si>
  <si>
    <t>까스활액</t>
    <phoneticPr fontId="3" type="noConversion"/>
  </si>
  <si>
    <t>꼬마웨하스바닐라맛</t>
    <phoneticPr fontId="3" type="noConversion"/>
  </si>
  <si>
    <r>
      <rPr>
        <sz val="11"/>
        <color rgb="FF000000"/>
        <rFont val="맑은 고딕"/>
        <family val="3"/>
        <charset val="129"/>
      </rPr>
      <t>꽃샘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피어나다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국화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유자</t>
    </r>
    <r>
      <rPr>
        <sz val="11"/>
        <color rgb="FF000000"/>
        <rFont val="Arial"/>
        <family val="3"/>
      </rPr>
      <t>, 350g</t>
    </r>
    <phoneticPr fontId="3" type="noConversion"/>
  </si>
  <si>
    <r>
      <rPr>
        <sz val="11"/>
        <color rgb="FF000000"/>
        <rFont val="맑은 고딕"/>
        <family val="3"/>
        <charset val="129"/>
      </rPr>
      <t>꽃샘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피어나다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히비스커스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자몽</t>
    </r>
    <r>
      <rPr>
        <sz val="11"/>
        <color rgb="FF000000"/>
        <rFont val="Arial"/>
        <family val="3"/>
      </rPr>
      <t>, 350g</t>
    </r>
    <phoneticPr fontId="3" type="noConversion"/>
  </si>
  <si>
    <r>
      <rPr>
        <sz val="11"/>
        <color rgb="FF000000"/>
        <rFont val="Arial"/>
        <family val="3"/>
      </rPr>
      <t xml:space="preserve">2080 </t>
    </r>
    <r>
      <rPr>
        <sz val="11"/>
        <color rgb="FF000000"/>
        <rFont val="맑은 고딕"/>
        <family val="3"/>
        <charset val="129"/>
      </rPr>
      <t>덴탈크리닉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뉴샤이닝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화이트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치약</t>
    </r>
    <r>
      <rPr>
        <sz val="11"/>
        <color rgb="FF000000"/>
        <rFont val="Arial"/>
        <family val="3"/>
      </rPr>
      <t>, 140g</t>
    </r>
    <phoneticPr fontId="3" type="noConversion"/>
  </si>
  <si>
    <r>
      <rPr>
        <sz val="11"/>
        <color rgb="FF000000"/>
        <rFont val="맑은 고딕"/>
        <family val="3"/>
        <charset val="129"/>
      </rPr>
      <t>더프트앤도프트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파인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프라그란스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바디미스트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핑크브리즈향</t>
    </r>
    <r>
      <rPr>
        <sz val="11"/>
        <color rgb="FF000000"/>
        <rFont val="Arial"/>
        <family val="3"/>
      </rPr>
      <t>, 150ml</t>
    </r>
    <phoneticPr fontId="3" type="noConversion"/>
  </si>
  <si>
    <r>
      <rPr>
        <sz val="11"/>
        <color rgb="FF000000"/>
        <rFont val="맑은 고딕"/>
        <family val="3"/>
        <charset val="129"/>
      </rPr>
      <t>데미소다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복숭아</t>
    </r>
    <r>
      <rPr>
        <sz val="11"/>
        <color rgb="FF000000"/>
        <rFont val="Arial"/>
        <family val="3"/>
      </rPr>
      <t>, 250ml</t>
    </r>
    <phoneticPr fontId="3" type="noConversion"/>
  </si>
  <si>
    <r>
      <rPr>
        <sz val="11"/>
        <color rgb="FF000000"/>
        <rFont val="맑은 고딕"/>
        <family val="3"/>
        <charset val="129"/>
      </rPr>
      <t>스팀베이스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데일리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아이마스크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라벤더향</t>
    </r>
    <r>
      <rPr>
        <sz val="11"/>
        <color rgb="FF000000"/>
        <rFont val="Arial"/>
        <family val="3"/>
      </rPr>
      <t>, 14</t>
    </r>
    <r>
      <rPr>
        <sz val="11"/>
        <color rgb="FF000000"/>
        <rFont val="맑은 고딕"/>
        <family val="3"/>
        <charset val="129"/>
      </rPr>
      <t>매입</t>
    </r>
    <phoneticPr fontId="3" type="noConversion"/>
  </si>
  <si>
    <r>
      <rPr>
        <sz val="11"/>
        <color rgb="FF000000"/>
        <rFont val="맑은 고딕"/>
        <family val="3"/>
        <charset val="129"/>
      </rPr>
      <t>데체코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올리오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엑스트라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버진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올리바</t>
    </r>
    <r>
      <rPr>
        <sz val="11"/>
        <color rgb="FF000000"/>
        <rFont val="Arial"/>
        <family val="3"/>
      </rPr>
      <t>, 1L</t>
    </r>
    <phoneticPr fontId="3" type="noConversion"/>
  </si>
  <si>
    <r>
      <rPr>
        <sz val="11"/>
        <color rgb="FF000000"/>
        <rFont val="맑은 고딕"/>
        <family val="3"/>
        <charset val="129"/>
      </rPr>
      <t>동원참치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라이트스탠다드</t>
    </r>
    <r>
      <rPr>
        <sz val="11"/>
        <color rgb="FF000000"/>
        <rFont val="Arial"/>
        <family val="2"/>
        <scheme val="minor"/>
      </rPr>
      <t xml:space="preserve"> 90g</t>
    </r>
    <phoneticPr fontId="3" type="noConversion"/>
  </si>
  <si>
    <r>
      <rPr>
        <sz val="11"/>
        <color rgb="FF000000"/>
        <rFont val="맑은 고딕"/>
        <family val="3"/>
        <charset val="129"/>
      </rPr>
      <t>듀이트리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울트라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바이탈라이징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스네일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크림</t>
    </r>
    <r>
      <rPr>
        <sz val="11"/>
        <color rgb="FF000000"/>
        <rFont val="Arial"/>
        <family val="3"/>
      </rPr>
      <t xml:space="preserve"> 80ml+</t>
    </r>
    <r>
      <rPr>
        <sz val="11"/>
        <color rgb="FF000000"/>
        <rFont val="맑은 고딕"/>
        <family val="3"/>
        <charset val="129"/>
      </rPr>
      <t>샘플</t>
    </r>
    <r>
      <rPr>
        <sz val="11"/>
        <color rgb="FF000000"/>
        <rFont val="Arial"/>
        <family val="3"/>
      </rPr>
      <t xml:space="preserve"> 10ml</t>
    </r>
    <phoneticPr fontId="3" type="noConversion"/>
  </si>
  <si>
    <r>
      <rPr>
        <sz val="11"/>
        <color rgb="FF000000"/>
        <rFont val="맑은 고딕"/>
        <family val="3"/>
        <charset val="129"/>
      </rPr>
      <t>라보에이치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프로바이오틱스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탈모증상완화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샴푸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두피쿨링</t>
    </r>
    <r>
      <rPr>
        <sz val="11"/>
        <color rgb="FF000000"/>
        <rFont val="Arial"/>
        <family val="3"/>
      </rPr>
      <t>, 400ml</t>
    </r>
    <phoneticPr fontId="3" type="noConversion"/>
  </si>
  <si>
    <r>
      <rPr>
        <sz val="11"/>
        <color rgb="FF000000"/>
        <rFont val="맑은 고딕"/>
        <family val="3"/>
        <charset val="129"/>
      </rPr>
      <t>동원참치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고추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참치</t>
    </r>
    <r>
      <rPr>
        <sz val="11"/>
        <color rgb="FF000000"/>
        <rFont val="Arial"/>
        <family val="3"/>
      </rPr>
      <t>, 90g</t>
    </r>
    <phoneticPr fontId="3" type="noConversion"/>
  </si>
  <si>
    <r>
      <rPr>
        <sz val="11"/>
        <color rgb="FF000000"/>
        <rFont val="맑은 고딕"/>
        <family val="3"/>
        <charset val="129"/>
      </rPr>
      <t>려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흑운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모근강화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볼륨케어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샴푸</t>
    </r>
    <r>
      <rPr>
        <sz val="11"/>
        <color rgb="FF000000"/>
        <rFont val="Arial"/>
        <family val="3"/>
        <charset val="129"/>
        <scheme val="minor"/>
      </rPr>
      <t>, 500ml</t>
    </r>
    <phoneticPr fontId="3" type="noConversion"/>
  </si>
  <si>
    <r>
      <rPr>
        <sz val="11"/>
        <color rgb="FF000000"/>
        <rFont val="맑은 고딕"/>
        <family val="3"/>
        <charset val="129"/>
      </rPr>
      <t>크라운</t>
    </r>
    <r>
      <rPr>
        <sz val="11"/>
        <color rgb="FF000000"/>
        <rFont val="Arial"/>
        <family val="3"/>
      </rPr>
      <t xml:space="preserve"> NEW </t>
    </r>
    <r>
      <rPr>
        <sz val="11"/>
        <color rgb="FF000000"/>
        <rFont val="맑은 고딕"/>
        <family val="3"/>
        <charset val="129"/>
      </rPr>
      <t>롱스</t>
    </r>
    <phoneticPr fontId="3" type="noConversion"/>
  </si>
  <si>
    <r>
      <rPr>
        <sz val="11"/>
        <color rgb="FF000000"/>
        <rFont val="맑은 고딕"/>
        <family val="3"/>
        <charset val="129"/>
      </rPr>
      <t>바세린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리프팅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리페어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로션</t>
    </r>
    <r>
      <rPr>
        <sz val="11"/>
        <color rgb="FF000000"/>
        <rFont val="Arial"/>
        <family val="3"/>
      </rPr>
      <t xml:space="preserve"> 450ml</t>
    </r>
    <phoneticPr fontId="3" type="noConversion"/>
  </si>
  <si>
    <r>
      <rPr>
        <sz val="11"/>
        <color rgb="FF000000"/>
        <rFont val="맑은 고딕"/>
        <family val="3"/>
        <charset val="129"/>
      </rPr>
      <t>비알티씨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파워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옴므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올인원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솔루션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기획세트</t>
    </r>
    <r>
      <rPr>
        <sz val="11"/>
        <color rgb="FF000000"/>
        <rFont val="Arial"/>
        <family val="3"/>
      </rPr>
      <t xml:space="preserve"> 200ML+50ML</t>
    </r>
    <phoneticPr fontId="3" type="noConversion"/>
  </si>
  <si>
    <r>
      <rPr>
        <sz val="11"/>
        <color rgb="FF000000"/>
        <rFont val="맑은 고딕"/>
        <family val="3"/>
        <charset val="129"/>
      </rPr>
      <t>비욘드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디펜스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샤워</t>
    </r>
    <r>
      <rPr>
        <sz val="11"/>
        <color rgb="FF000000"/>
        <rFont val="Arial"/>
        <family val="3"/>
      </rPr>
      <t xml:space="preserve"> 450ml</t>
    </r>
    <phoneticPr fontId="3" type="noConversion"/>
  </si>
  <si>
    <r>
      <rPr>
        <sz val="11"/>
        <color rgb="FF000000"/>
        <rFont val="맑은 고딕"/>
        <family val="3"/>
        <charset val="129"/>
      </rPr>
      <t>비욘드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디펜스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에멀전</t>
    </r>
    <r>
      <rPr>
        <sz val="11"/>
        <color rgb="FF000000"/>
        <rFont val="Arial"/>
        <family val="3"/>
      </rPr>
      <t xml:space="preserve"> 450ml</t>
    </r>
    <phoneticPr fontId="3" type="noConversion"/>
  </si>
  <si>
    <r>
      <rPr>
        <sz val="11"/>
        <color rgb="FF000000"/>
        <rFont val="맑은 고딕"/>
        <family val="3"/>
        <charset val="129"/>
      </rPr>
      <t>비원즈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피토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콜라겐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아이세럼스틱</t>
    </r>
    <r>
      <rPr>
        <sz val="11"/>
        <color rgb="FF000000"/>
        <rFont val="Arial"/>
        <family val="3"/>
      </rPr>
      <t xml:space="preserve"> 15ml</t>
    </r>
    <phoneticPr fontId="3" type="noConversion"/>
  </si>
  <si>
    <r>
      <rPr>
        <sz val="11"/>
        <color rgb="FF000000"/>
        <rFont val="맑은 고딕"/>
        <family val="3"/>
        <charset val="129"/>
      </rPr>
      <t>히말라야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핑크솔트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담은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칫솔</t>
    </r>
    <phoneticPr fontId="3" type="noConversion"/>
  </si>
  <si>
    <r>
      <rPr>
        <sz val="11"/>
        <color rgb="FF000000"/>
        <rFont val="맑은 고딕"/>
        <family val="3"/>
        <charset val="129"/>
      </rPr>
      <t>후레쉬베리</t>
    </r>
    <r>
      <rPr>
        <sz val="11"/>
        <color rgb="FF000000"/>
        <rFont val="Arial"/>
        <family val="3"/>
      </rPr>
      <t xml:space="preserve"> 6</t>
    </r>
    <r>
      <rPr>
        <sz val="11"/>
        <color rgb="FF000000"/>
        <rFont val="맑은 고딕"/>
        <family val="3"/>
        <charset val="129"/>
      </rPr>
      <t>개입</t>
    </r>
    <phoneticPr fontId="3" type="noConversion"/>
  </si>
  <si>
    <r>
      <rPr>
        <sz val="11"/>
        <color rgb="FF000000"/>
        <rFont val="맑은 고딕"/>
        <family val="3"/>
        <charset val="129"/>
      </rPr>
      <t>화이트쿠키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빼뺴로</t>
    </r>
    <phoneticPr fontId="3" type="noConversion"/>
  </si>
  <si>
    <r>
      <rPr>
        <sz val="11"/>
        <color rgb="FF000000"/>
        <rFont val="맑은 고딕"/>
        <family val="3"/>
        <charset val="129"/>
      </rPr>
      <t>정관장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홍삼보운</t>
    </r>
    <r>
      <rPr>
        <sz val="11"/>
        <color rgb="FF000000"/>
        <rFont val="Arial"/>
        <family val="3"/>
      </rPr>
      <t xml:space="preserve"> 40ml x 30</t>
    </r>
    <r>
      <rPr>
        <sz val="11"/>
        <color rgb="FF000000"/>
        <rFont val="맑은 고딕"/>
        <family val="3"/>
        <charset val="129"/>
      </rPr>
      <t>개입</t>
    </r>
    <phoneticPr fontId="3" type="noConversion"/>
  </si>
  <si>
    <r>
      <rPr>
        <sz val="11"/>
        <color rgb="FF000000"/>
        <rFont val="맑은 고딕"/>
        <family val="3"/>
        <charset val="129"/>
      </rPr>
      <t>해피바스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오리지널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컬렉션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바디워시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체리블로섬향</t>
    </r>
    <r>
      <rPr>
        <sz val="11"/>
        <color rgb="FF000000"/>
        <rFont val="Arial"/>
        <family val="3"/>
      </rPr>
      <t>, 910g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</si>
</sst>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₩-412]#,##0"/>
    <numFmt numFmtId="177" formatCode="&quot;₩&quot;#,##0"/>
  </numFmts>
  <fonts count="2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b/>
      <sz val="10"/>
      <color rgb="FF000000"/>
      <name val="&quot;Arial Unicode MS&quot;"/>
    </font>
    <font>
      <b/>
      <sz val="10"/>
      <color rgb="FF000000"/>
      <name val="Arial"/>
      <family val="2"/>
    </font>
    <font>
      <b/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11"/>
      <color rgb="FF000000"/>
      <name val="&quot;맑은 고딕&quot;"/>
      <family val="3"/>
      <charset val="129"/>
    </font>
    <font>
      <sz val="11"/>
      <color rgb="FF000000"/>
      <name val="Arial Unicode MS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</font>
    <font>
      <sz val="11"/>
      <color rgb="FF000000"/>
      <name val="Arial Unicode MS"/>
      <family val="3"/>
      <charset val="129"/>
    </font>
    <font>
      <sz val="11"/>
      <color rgb="FF000000"/>
      <name val="Arial"/>
      <family val="3"/>
      <charset val="129"/>
    </font>
    <font>
      <sz val="11"/>
      <color rgb="FF000000"/>
      <name val="Arial"/>
      <family val="2"/>
      <charset val="129"/>
    </font>
    <font>
      <sz val="11"/>
      <color rgb="FF000000"/>
      <name val="돋움"/>
      <family val="3"/>
      <charset val="129"/>
    </font>
    <font>
      <sz val="11"/>
      <color rgb="FF000000"/>
      <name val="돋움"/>
      <family val="2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Arial Unicode MS"/>
      <family val="2"/>
      <charset val="129"/>
    </font>
    <font>
      <b/>
      <sz val="10"/>
      <color rgb="FF000000"/>
      <name val="Arial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Arial"/>
      <family val="2"/>
      <scheme val="minor"/>
    </font>
    <font>
      <sz val="11"/>
      <color rgb="FF000000"/>
      <name val="Arial"/>
      <family val="3"/>
      <charset val="129"/>
      <scheme val="minor"/>
    </font>
    <font>
      <sz val="11"/>
      <color rgb="FF000000"/>
      <name val="Arial"/>
      <family val="2"/>
      <charset val="129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rgb="FF000000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/>
    <xf numFmtId="176" fontId="1" fillId="0" borderId="1" xfId="0" applyNumberFormat="1" applyFont="1" applyBorder="1"/>
    <xf numFmtId="176" fontId="1" fillId="0" borderId="0" xfId="0" applyNumberFormat="1" applyFont="1"/>
    <xf numFmtId="0" fontId="2" fillId="0" borderId="2" xfId="0" applyFont="1" applyBorder="1"/>
    <xf numFmtId="49" fontId="0" fillId="0" borderId="0" xfId="0" applyNumberFormat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0" borderId="0" xfId="0" applyFont="1"/>
    <xf numFmtId="0" fontId="4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0" borderId="1" xfId="0" applyFont="1" applyBorder="1"/>
    <xf numFmtId="0" fontId="2" fillId="0" borderId="4" xfId="0" applyFont="1" applyBorder="1"/>
    <xf numFmtId="177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177" fontId="8" fillId="0" borderId="4" xfId="0" applyNumberFormat="1" applyFont="1" applyBorder="1"/>
    <xf numFmtId="0" fontId="8" fillId="0" borderId="4" xfId="0" applyFont="1" applyBorder="1"/>
    <xf numFmtId="0" fontId="7" fillId="0" borderId="4" xfId="0" applyFont="1" applyBorder="1"/>
    <xf numFmtId="0" fontId="7" fillId="0" borderId="5" xfId="0" applyFont="1" applyBorder="1"/>
    <xf numFmtId="177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2" xfId="0" applyFont="1" applyBorder="1"/>
    <xf numFmtId="0" fontId="2" fillId="0" borderId="5" xfId="0" applyFont="1" applyBorder="1"/>
    <xf numFmtId="0" fontId="0" fillId="0" borderId="0" xfId="0" applyAlignment="1">
      <alignment horizontal="fill"/>
    </xf>
    <xf numFmtId="0" fontId="8" fillId="0" borderId="4" xfId="0" applyFont="1" applyBorder="1" applyAlignment="1">
      <alignment horizontal="fill"/>
    </xf>
    <xf numFmtId="0" fontId="2" fillId="0" borderId="4" xfId="0" applyFont="1" applyBorder="1" applyAlignment="1">
      <alignment horizontal="fill"/>
    </xf>
    <xf numFmtId="0" fontId="7" fillId="0" borderId="0" xfId="0" applyFont="1" applyAlignment="1">
      <alignment horizontal="fill"/>
    </xf>
    <xf numFmtId="0" fontId="2" fillId="0" borderId="2" xfId="0" applyFont="1" applyBorder="1" applyAlignment="1">
      <alignment horizontal="fill"/>
    </xf>
    <xf numFmtId="0" fontId="13" fillId="0" borderId="4" xfId="0" applyFont="1" applyBorder="1"/>
    <xf numFmtId="0" fontId="14" fillId="0" borderId="4" xfId="0" applyFont="1" applyBorder="1" applyAlignment="1">
      <alignment horizontal="fill"/>
    </xf>
    <xf numFmtId="0" fontId="13" fillId="0" borderId="4" xfId="0" applyFont="1" applyBorder="1" applyAlignment="1">
      <alignment horizontal="fill"/>
    </xf>
    <xf numFmtId="0" fontId="9" fillId="0" borderId="4" xfId="0" applyFont="1" applyBorder="1"/>
    <xf numFmtId="49" fontId="19" fillId="2" borderId="2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2" fillId="0" borderId="4" xfId="0" applyNumberFormat="1" applyFont="1" applyBorder="1"/>
    <xf numFmtId="49" fontId="7" fillId="0" borderId="0" xfId="0" applyNumberFormat="1" applyFont="1"/>
    <xf numFmtId="49" fontId="2" fillId="0" borderId="1" xfId="0" applyNumberFormat="1" applyFont="1" applyBorder="1"/>
    <xf numFmtId="49" fontId="2" fillId="0" borderId="5" xfId="0" applyNumberFormat="1" applyFont="1" applyBorder="1"/>
    <xf numFmtId="49" fontId="10" fillId="0" borderId="4" xfId="0" applyNumberFormat="1" applyFont="1" applyBorder="1"/>
    <xf numFmtId="49" fontId="2" fillId="0" borderId="2" xfId="0" applyNumberFormat="1" applyFont="1" applyBorder="1"/>
    <xf numFmtId="49" fontId="9" fillId="0" borderId="4" xfId="0" applyNumberFormat="1" applyFont="1" applyBorder="1"/>
    <xf numFmtId="0" fontId="10" fillId="0" borderId="4" xfId="0" applyFont="1" applyBorder="1"/>
    <xf numFmtId="0" fontId="21" fillId="0" borderId="0" xfId="0" applyFont="1"/>
    <xf numFmtId="176" fontId="24" fillId="0" borderId="0" xfId="0" applyNumberFormat="1" applyFont="1"/>
    <xf numFmtId="0" fontId="21" fillId="0" borderId="0" xfId="0" applyFont="1" applyAlignment="1">
      <alignment horizontal="fill"/>
    </xf>
    <xf numFmtId="0" fontId="0" fillId="0" borderId="0" xfId="0" applyAlignment="1">
      <alignment horizontal="center"/>
    </xf>
    <xf numFmtId="0" fontId="25" fillId="2" borderId="6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5" fillId="2" borderId="1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177" fontId="21" fillId="0" borderId="4" xfId="0" applyNumberFormat="1" applyFont="1" applyBorder="1" applyAlignment="1">
      <alignment horizontal="right" vertical="center"/>
    </xf>
    <xf numFmtId="0" fontId="21" fillId="0" borderId="4" xfId="0" applyFont="1" applyBorder="1" applyAlignment="1">
      <alignment horizontal="right" vertical="center"/>
    </xf>
    <xf numFmtId="177" fontId="21" fillId="0" borderId="4" xfId="0" applyNumberFormat="1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77" fontId="21" fillId="0" borderId="1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176" fontId="24" fillId="0" borderId="4" xfId="0" applyNumberFormat="1" applyFont="1" applyBorder="1" applyAlignment="1">
      <alignment vertical="center"/>
    </xf>
    <xf numFmtId="0" fontId="21" fillId="0" borderId="4" xfId="0" applyFont="1" applyBorder="1" applyAlignment="1">
      <alignment horizontal="fill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0EA4-87C6-44F8-A254-94EBEE5F6E1D}">
  <sheetPr>
    <outlinePr summaryBelow="0" summaryRight="0"/>
  </sheetPr>
  <dimension ref="B1:K462"/>
  <sheetViews>
    <sheetView tabSelected="1" topLeftCell="D1" workbookViewId="0">
      <pane ySplit="3" topLeftCell="A84" activePane="bottomLeft" state="frozen"/>
      <selection pane="bottomLeft" activeCell="E111" sqref="E111"/>
    </sheetView>
  </sheetViews>
  <sheetFormatPr defaultColWidth="12.6640625" defaultRowHeight="14.4" customHeight="1"/>
  <cols>
    <col min="1" max="1" width="3.33203125" style="44" customWidth="1"/>
    <col min="2" max="2" width="11.6640625" style="50" bestFit="1" customWidth="1"/>
    <col min="3" max="4" width="23" style="49" customWidth="1"/>
    <col min="5" max="5" width="72.109375" style="44" customWidth="1"/>
    <col min="6" max="6" width="12.109375" style="44" bestFit="1" customWidth="1"/>
    <col min="7" max="8" width="12.6640625" style="44" customWidth="1"/>
    <col min="9" max="9" width="24" style="46" customWidth="1"/>
    <col min="10" max="10" width="16.21875" style="44" customWidth="1"/>
    <col min="11" max="16384" width="12.6640625" style="44"/>
  </cols>
  <sheetData>
    <row r="1" spans="2:11" ht="14.4" customHeight="1">
      <c r="G1" s="45"/>
    </row>
    <row r="2" spans="2:11" ht="14.4" customHeight="1">
      <c r="B2" s="51" t="s">
        <v>56</v>
      </c>
      <c r="C2" s="52" t="s">
        <v>2</v>
      </c>
      <c r="D2" s="52" t="s">
        <v>3</v>
      </c>
      <c r="E2" s="52" t="s">
        <v>0</v>
      </c>
      <c r="F2" s="52" t="s">
        <v>1</v>
      </c>
      <c r="G2" s="52" t="s">
        <v>4</v>
      </c>
      <c r="H2" s="52" t="s">
        <v>214</v>
      </c>
      <c r="I2" s="52" t="s">
        <v>215</v>
      </c>
      <c r="J2" s="52" t="s">
        <v>5</v>
      </c>
      <c r="K2" s="53"/>
    </row>
    <row r="3" spans="2:11" ht="14.4" customHeight="1">
      <c r="B3" s="54" t="s">
        <v>59</v>
      </c>
      <c r="C3" s="55" t="s">
        <v>60</v>
      </c>
      <c r="D3" s="55" t="s">
        <v>29</v>
      </c>
      <c r="E3" s="55" t="s">
        <v>30</v>
      </c>
      <c r="F3" s="55" t="s">
        <v>61</v>
      </c>
      <c r="G3" s="55" t="s">
        <v>31</v>
      </c>
      <c r="H3" s="55"/>
      <c r="I3" s="55" t="s">
        <v>62</v>
      </c>
      <c r="J3" s="55" t="s">
        <v>32</v>
      </c>
      <c r="K3" s="53" t="s">
        <v>333</v>
      </c>
    </row>
    <row r="4" spans="2:11" ht="17.399999999999999">
      <c r="B4" s="56">
        <v>92</v>
      </c>
      <c r="C4" s="57" t="s">
        <v>12</v>
      </c>
      <c r="D4" s="58" t="s">
        <v>327</v>
      </c>
      <c r="E4" s="59" t="s">
        <v>341</v>
      </c>
      <c r="F4" s="60">
        <v>3140</v>
      </c>
      <c r="G4" s="61">
        <v>1</v>
      </c>
      <c r="H4" s="62">
        <f t="shared" ref="H4:H67" si="0">F4*G4</f>
        <v>3140</v>
      </c>
      <c r="I4" s="63" t="str">
        <f t="shared" ref="I4:I67" si="1">_xlfn.CONCAT(E4, ".jpg")</f>
        <v>청정원 프리미엄 굴소스, 500g.jpg</v>
      </c>
      <c r="J4" s="63"/>
      <c r="K4" s="53" t="str">
        <f>_xlfn.CONCAT("{""",$B$3,""":""",B4,""",""",$C$3,""":""",C4,""",""",$D$3,""":""",D4,""",""",$E$3,""":""",E4,""",""",$F$3,""":""",F4,""",""",$G$3,""":""",G4,""",""",$H$3,""":""",H4,""",""",$I$3,""":""",I4,"""},")</f>
        <v>{"ITM_SEQ":"92","TYPE":"식품","TYPE_DTL":"미정","ITM_NM":"청정원 프리미엄 굴소스, 500g","PRICE":"3140","UNIT":"1","":"3140","IMG":"청정원 프리미엄 굴소스, 500g.jpg"},</v>
      </c>
    </row>
    <row r="5" spans="2:11" ht="14.4" customHeight="1">
      <c r="B5" s="64">
        <v>194</v>
      </c>
      <c r="C5" s="57" t="s">
        <v>6</v>
      </c>
      <c r="D5" s="58" t="s">
        <v>327</v>
      </c>
      <c r="E5" s="65" t="s">
        <v>342</v>
      </c>
      <c r="F5" s="60">
        <v>11830</v>
      </c>
      <c r="G5" s="61">
        <v>1</v>
      </c>
      <c r="H5" s="62">
        <f t="shared" si="0"/>
        <v>11830</v>
      </c>
      <c r="I5" s="63" t="str">
        <f t="shared" si="1"/>
        <v>질레트프로글라이드.jpg</v>
      </c>
      <c r="J5" s="63"/>
      <c r="K5" s="53" t="str">
        <f t="shared" ref="K5:K52" si="2">_xlfn.CONCAT("{""",$B$3,""":""",B5,""",""",$C$3,""":""",C5,""",""",$D$3,""":""",D5,""",""",$E$3,""":""",E5,""",""",$F$3,""":""",F5,""",""",$G$3,""":""",G5,""",""",$H$3,""":""",H5,""",""",$I$3,""":""",I5,"""},")</f>
        <v>{"ITM_SEQ":"194","TYPE":"기타","TYPE_DTL":"미정","ITM_NM":"질레트프로글라이드","PRICE":"11830","UNIT":"1","":"11830","IMG":"질레트프로글라이드.jpg"},</v>
      </c>
    </row>
    <row r="6" spans="2:11" ht="14.4" customHeight="1">
      <c r="B6" s="56">
        <v>195</v>
      </c>
      <c r="C6" s="57" t="s">
        <v>6</v>
      </c>
      <c r="D6" s="58" t="s">
        <v>327</v>
      </c>
      <c r="E6" s="63" t="s">
        <v>217</v>
      </c>
      <c r="F6" s="60">
        <v>3590</v>
      </c>
      <c r="G6" s="61">
        <v>1</v>
      </c>
      <c r="H6" s="62">
        <f t="shared" si="0"/>
        <v>3590</v>
      </c>
      <c r="I6" s="63" t="str">
        <f t="shared" si="1"/>
        <v>2080닥터크리닉잇몸치약(3개 묶음).jpg</v>
      </c>
      <c r="J6" s="63"/>
      <c r="K6" s="53" t="str">
        <f t="shared" si="2"/>
        <v>{"ITM_SEQ":"195","TYPE":"기타","TYPE_DTL":"미정","ITM_NM":"2080닥터크리닉잇몸치약(3개 묶음)","PRICE":"3590","UNIT":"1","":"3590","IMG":"2080닥터크리닉잇몸치약(3개 묶음).jpg"},</v>
      </c>
    </row>
    <row r="7" spans="2:11" ht="14.4" customHeight="1">
      <c r="B7" s="64">
        <v>41</v>
      </c>
      <c r="C7" s="57" t="s">
        <v>18</v>
      </c>
      <c r="D7" s="57" t="s">
        <v>20</v>
      </c>
      <c r="E7" s="63" t="s">
        <v>103</v>
      </c>
      <c r="F7" s="60">
        <v>8800</v>
      </c>
      <c r="G7" s="61">
        <v>1</v>
      </c>
      <c r="H7" s="62">
        <f t="shared" si="0"/>
        <v>8800</v>
      </c>
      <c r="I7" s="63" t="str">
        <f t="shared" si="1"/>
        <v>AHC 내추럴 퍼펙션 프레쉬선스틱.jpg</v>
      </c>
      <c r="J7" s="63"/>
      <c r="K7" s="53" t="str">
        <f t="shared" si="2"/>
        <v>{"ITM_SEQ":"41","TYPE":"화장품","TYPE_DTL":"선크림","ITM_NM":"AHC 내추럴 퍼펙션 프레쉬선스틱","PRICE":"8800","UNIT":"1","":"8800","IMG":"AHC 내추럴 퍼펙션 프레쉬선스틱.jpg"},</v>
      </c>
    </row>
    <row r="8" spans="2:11" ht="14.4" customHeight="1">
      <c r="B8" s="64">
        <v>124</v>
      </c>
      <c r="C8" s="57" t="s">
        <v>18</v>
      </c>
      <c r="D8" s="57" t="s">
        <v>22</v>
      </c>
      <c r="E8" s="63" t="s">
        <v>328</v>
      </c>
      <c r="F8" s="60">
        <v>14590</v>
      </c>
      <c r="G8" s="61">
        <v>1</v>
      </c>
      <c r="H8" s="62">
        <f t="shared" si="0"/>
        <v>14590</v>
      </c>
      <c r="I8" s="63" t="str">
        <f t="shared" si="1"/>
        <v>AHC 에이치 멜라 루트 크림(AHC 기미크림).jpg</v>
      </c>
      <c r="J8" s="63"/>
      <c r="K8" s="53" t="str">
        <f t="shared" si="2"/>
        <v>{"ITM_SEQ":"124","TYPE":"화장품","TYPE_DTL":"영양크림","ITM_NM":"AHC 에이치 멜라 루트 크림(AHC 기미크림)","PRICE":"14590","UNIT":"1","":"14590","IMG":"AHC 에이치 멜라 루트 크림(AHC 기미크림).jpg"},</v>
      </c>
    </row>
    <row r="9" spans="2:11" ht="14.4" customHeight="1">
      <c r="B9" s="56">
        <v>42</v>
      </c>
      <c r="C9" s="57" t="s">
        <v>18</v>
      </c>
      <c r="D9" s="57" t="s">
        <v>21</v>
      </c>
      <c r="E9" s="63" t="s">
        <v>104</v>
      </c>
      <c r="F9" s="60">
        <v>5560</v>
      </c>
      <c r="G9" s="61">
        <v>1</v>
      </c>
      <c r="H9" s="62">
        <f t="shared" si="0"/>
        <v>5560</v>
      </c>
      <c r="I9" s="63" t="str">
        <f t="shared" si="1"/>
        <v>AHC프라이빗 리얼아이크림기프트세트.jpg</v>
      </c>
      <c r="J9" s="63"/>
      <c r="K9" s="53" t="str">
        <f t="shared" si="2"/>
        <v>{"ITM_SEQ":"42","TYPE":"화장품","TYPE_DTL":"아이크림","ITM_NM":"AHC프라이빗 리얼아이크림기프트세트","PRICE":"5560","UNIT":"1","":"5560","IMG":"AHC프라이빗 리얼아이크림기프트세트.jpg"},</v>
      </c>
    </row>
    <row r="10" spans="2:11" ht="14.4" customHeight="1">
      <c r="B10" s="56">
        <v>197</v>
      </c>
      <c r="C10" s="57" t="s">
        <v>6</v>
      </c>
      <c r="D10" s="58" t="s">
        <v>327</v>
      </c>
      <c r="E10" s="66" t="s">
        <v>218</v>
      </c>
      <c r="F10" s="67">
        <v>9900</v>
      </c>
      <c r="G10" s="61">
        <v>1</v>
      </c>
      <c r="H10" s="62">
        <f t="shared" si="0"/>
        <v>9900</v>
      </c>
      <c r="I10" s="63" t="str">
        <f t="shared" si="1"/>
        <v>AIR MESH 로카티 GMR904.jpg</v>
      </c>
      <c r="J10" s="63"/>
      <c r="K10" s="53" t="str">
        <f t="shared" si="2"/>
        <v>{"ITM_SEQ":"197","TYPE":"기타","TYPE_DTL":"미정","ITM_NM":"AIR MESH 로카티 GMR904","PRICE":"9900","UNIT":"1","":"9900","IMG":"AIR MESH 로카티 GMR904.jpg"},</v>
      </c>
    </row>
    <row r="11" spans="2:11" ht="14.4" customHeight="1">
      <c r="B11" s="64">
        <v>198</v>
      </c>
      <c r="C11" s="57" t="s">
        <v>6</v>
      </c>
      <c r="D11" s="58" t="s">
        <v>327</v>
      </c>
      <c r="E11" s="63" t="s">
        <v>343</v>
      </c>
      <c r="F11" s="60">
        <v>9900</v>
      </c>
      <c r="G11" s="61">
        <v>1</v>
      </c>
      <c r="H11" s="62">
        <f t="shared" si="0"/>
        <v>9900</v>
      </c>
      <c r="I11" s="63" t="str">
        <f t="shared" si="1"/>
        <v>ROKA 반팔티.jpg</v>
      </c>
      <c r="J11" s="63"/>
      <c r="K11" s="53" t="str">
        <f t="shared" si="2"/>
        <v>{"ITM_SEQ":"198","TYPE":"기타","TYPE_DTL":"미정","ITM_NM":"ROKA 반팔티","PRICE":"9900","UNIT":"1","":"9900","IMG":"ROKA 반팔티.jpg"},</v>
      </c>
    </row>
    <row r="12" spans="2:11" ht="14.4" customHeight="1">
      <c r="B12" s="56">
        <v>38</v>
      </c>
      <c r="C12" s="57" t="s">
        <v>18</v>
      </c>
      <c r="D12" s="57" t="s">
        <v>19</v>
      </c>
      <c r="E12" s="63" t="s">
        <v>100</v>
      </c>
      <c r="F12" s="60">
        <v>480</v>
      </c>
      <c r="G12" s="61">
        <v>10</v>
      </c>
      <c r="H12" s="62">
        <f t="shared" si="0"/>
        <v>4800</v>
      </c>
      <c r="I12" s="63" t="str">
        <f t="shared" si="1"/>
        <v>SNP 골드 콜라겐 앰플 마스크.jpg</v>
      </c>
      <c r="J12" s="63"/>
      <c r="K12" s="53" t="str">
        <f t="shared" si="2"/>
        <v>{"ITM_SEQ":"38","TYPE":"화장품","TYPE_DTL":"마스크팩","ITM_NM":"SNP 골드 콜라겐 앰플 마스크","PRICE":"480","UNIT":"10","":"4800","IMG":"SNP 골드 콜라겐 앰플 마스크.jpg"},</v>
      </c>
    </row>
    <row r="13" spans="2:11" ht="14.4" customHeight="1">
      <c r="B13" s="56">
        <v>94</v>
      </c>
      <c r="C13" s="57" t="s">
        <v>12</v>
      </c>
      <c r="D13" s="58" t="s">
        <v>327</v>
      </c>
      <c r="E13" s="68" t="s">
        <v>344</v>
      </c>
      <c r="F13" s="60">
        <v>1500</v>
      </c>
      <c r="G13" s="61">
        <v>1</v>
      </c>
      <c r="H13" s="62">
        <f t="shared" si="0"/>
        <v>1500</v>
      </c>
      <c r="I13" s="63" t="str">
        <f t="shared" si="1"/>
        <v>오뚜기 가쓰오부시장국, 360ml.jpg</v>
      </c>
      <c r="J13" s="63"/>
      <c r="K13" s="53" t="str">
        <f t="shared" si="2"/>
        <v>{"ITM_SEQ":"94","TYPE":"식품","TYPE_DTL":"미정","ITM_NM":"오뚜기 가쓰오부시장국, 360ml","PRICE":"1500","UNIT":"1","":"1500","IMG":"오뚜기 가쓰오부시장국, 360ml.jpg"},</v>
      </c>
    </row>
    <row r="14" spans="2:11" ht="14.4" customHeight="1">
      <c r="B14" s="64">
        <v>199</v>
      </c>
      <c r="C14" s="57" t="s">
        <v>6</v>
      </c>
      <c r="D14" s="58" t="s">
        <v>327</v>
      </c>
      <c r="E14" s="63" t="s">
        <v>219</v>
      </c>
      <c r="F14" s="60">
        <v>2700</v>
      </c>
      <c r="G14" s="61">
        <v>1</v>
      </c>
      <c r="H14" s="62">
        <f t="shared" si="0"/>
        <v>2700</v>
      </c>
      <c r="I14" s="63" t="str">
        <f t="shared" si="1"/>
        <v>고농축피죤 써니가든 1.6L.jpg</v>
      </c>
      <c r="J14" s="63"/>
      <c r="K14" s="53" t="str">
        <f t="shared" si="2"/>
        <v>{"ITM_SEQ":"199","TYPE":"기타","TYPE_DTL":"미정","ITM_NM":"고농축피죤 써니가든 1.6L","PRICE":"2700","UNIT":"1","":"2700","IMG":"고농축피죤 써니가든 1.6L.jpg"},</v>
      </c>
    </row>
    <row r="15" spans="2:11" ht="14.4" customHeight="1">
      <c r="B15" s="56">
        <v>200</v>
      </c>
      <c r="C15" s="57" t="s">
        <v>6</v>
      </c>
      <c r="D15" s="58" t="s">
        <v>327</v>
      </c>
      <c r="E15" s="63" t="s">
        <v>220</v>
      </c>
      <c r="F15" s="60">
        <v>4490</v>
      </c>
      <c r="G15" s="61">
        <v>1</v>
      </c>
      <c r="H15" s="62">
        <f t="shared" si="0"/>
        <v>4490</v>
      </c>
      <c r="I15" s="63" t="str">
        <f t="shared" si="1"/>
        <v>고농축피죤 플라워페스티벌 2.3L.jpg</v>
      </c>
      <c r="J15" s="63"/>
      <c r="K15" s="53" t="str">
        <f t="shared" si="2"/>
        <v>{"ITM_SEQ":"200","TYPE":"기타","TYPE_DTL":"미정","ITM_NM":"고농축피죤 플라워페스티벌 2.3L","PRICE":"4490","UNIT":"1","":"4490","IMG":"고농축피죤 플라워페스티벌 2.3L.jpg"},</v>
      </c>
    </row>
    <row r="16" spans="2:11" ht="14.4" customHeight="1">
      <c r="B16" s="64">
        <v>95</v>
      </c>
      <c r="C16" s="57" t="s">
        <v>12</v>
      </c>
      <c r="D16" s="58" t="s">
        <v>327</v>
      </c>
      <c r="E16" s="68" t="s">
        <v>345</v>
      </c>
      <c r="F16" s="60">
        <v>2990</v>
      </c>
      <c r="G16" s="61">
        <v>1</v>
      </c>
      <c r="H16" s="62">
        <f t="shared" si="0"/>
        <v>2990</v>
      </c>
      <c r="I16" s="63" t="str">
        <f t="shared" si="1"/>
        <v>고소한 건강 생각 참기름.jpg</v>
      </c>
      <c r="J16" s="63"/>
      <c r="K16" s="53" t="str">
        <f t="shared" si="2"/>
        <v>{"ITM_SEQ":"95","TYPE":"식품","TYPE_DTL":"미정","ITM_NM":"고소한 건강 생각 참기름","PRICE":"2990","UNIT":"1","":"2990","IMG":"고소한 건강 생각 참기름.jpg"},</v>
      </c>
    </row>
    <row r="17" spans="2:11" ht="14.4" customHeight="1">
      <c r="B17" s="56">
        <v>4</v>
      </c>
      <c r="C17" s="57" t="s">
        <v>6</v>
      </c>
      <c r="D17" s="57" t="s">
        <v>7</v>
      </c>
      <c r="E17" s="63" t="s">
        <v>172</v>
      </c>
      <c r="F17" s="60">
        <v>8990</v>
      </c>
      <c r="G17" s="61">
        <v>1</v>
      </c>
      <c r="H17" s="62">
        <f t="shared" si="0"/>
        <v>8990</v>
      </c>
      <c r="I17" s="63" t="str">
        <f t="shared" si="1"/>
        <v>그라스 디퓨저 105ml 블랙베리&amp;체리.jpg</v>
      </c>
      <c r="J17" s="63"/>
      <c r="K17" s="53" t="str">
        <f t="shared" si="2"/>
        <v>{"ITM_SEQ":"4","TYPE":"기타","TYPE_DTL":"디퓨저","ITM_NM":"그라스 디퓨저 105ml 블랙베리&amp;체리","PRICE":"8990","UNIT":"1","":"8990","IMG":"그라스 디퓨저 105ml 블랙베리&amp;체리.jpg"},</v>
      </c>
    </row>
    <row r="18" spans="2:11" ht="14.4" customHeight="1">
      <c r="B18" s="56">
        <v>97</v>
      </c>
      <c r="C18" s="57" t="s">
        <v>12</v>
      </c>
      <c r="D18" s="58" t="s">
        <v>327</v>
      </c>
      <c r="E18" s="65" t="s">
        <v>346</v>
      </c>
      <c r="F18" s="60">
        <v>530</v>
      </c>
      <c r="G18" s="61">
        <v>10</v>
      </c>
      <c r="H18" s="62">
        <f t="shared" si="0"/>
        <v>5300</v>
      </c>
      <c r="I18" s="63" t="str">
        <f t="shared" si="1"/>
        <v>까스활액.jpg</v>
      </c>
      <c r="J18" s="63"/>
      <c r="K18" s="53" t="str">
        <f t="shared" si="2"/>
        <v>{"ITM_SEQ":"97","TYPE":"식품","TYPE_DTL":"미정","ITM_NM":"까스활액","PRICE":"530","UNIT":"10","":"5300","IMG":"까스활액.jpg"},</v>
      </c>
    </row>
    <row r="19" spans="2:11" ht="14.4" customHeight="1">
      <c r="B19" s="64">
        <v>98</v>
      </c>
      <c r="C19" s="57" t="s">
        <v>12</v>
      </c>
      <c r="D19" s="58" t="s">
        <v>327</v>
      </c>
      <c r="E19" s="65" t="s">
        <v>347</v>
      </c>
      <c r="F19" s="60">
        <v>520</v>
      </c>
      <c r="G19" s="61">
        <v>20</v>
      </c>
      <c r="H19" s="62">
        <f t="shared" si="0"/>
        <v>10400</v>
      </c>
      <c r="I19" s="63" t="str">
        <f t="shared" si="1"/>
        <v>꼬마웨하스바닐라맛.jpg</v>
      </c>
      <c r="J19" s="63"/>
      <c r="K19" s="53" t="str">
        <f t="shared" si="2"/>
        <v>{"ITM_SEQ":"98","TYPE":"식품","TYPE_DTL":"미정","ITM_NM":"꼬마웨하스바닐라맛","PRICE":"520","UNIT":"20","":"10400","IMG":"꼬마웨하스바닐라맛.jpg"},</v>
      </c>
    </row>
    <row r="20" spans="2:11" ht="14.4" customHeight="1">
      <c r="B20" s="56">
        <v>99</v>
      </c>
      <c r="C20" s="57" t="s">
        <v>12</v>
      </c>
      <c r="D20" s="58" t="s">
        <v>327</v>
      </c>
      <c r="E20" s="68" t="s">
        <v>348</v>
      </c>
      <c r="F20" s="60">
        <v>2600</v>
      </c>
      <c r="G20" s="61">
        <v>1</v>
      </c>
      <c r="H20" s="62">
        <f t="shared" si="0"/>
        <v>2600</v>
      </c>
      <c r="I20" s="63" t="str">
        <f t="shared" si="1"/>
        <v>꽃샘 피어나다 국화 유자, 350g.jpg</v>
      </c>
      <c r="J20" s="63"/>
      <c r="K20" s="53" t="str">
        <f t="shared" si="2"/>
        <v>{"ITM_SEQ":"99","TYPE":"식품","TYPE_DTL":"미정","ITM_NM":"꽃샘 피어나다 국화 유자, 350g","PRICE":"2600","UNIT":"1","":"2600","IMG":"꽃샘 피어나다 국화 유자, 350g.jpg"},</v>
      </c>
    </row>
    <row r="21" spans="2:11" ht="14.4" customHeight="1">
      <c r="B21" s="64">
        <v>100</v>
      </c>
      <c r="C21" s="57" t="s">
        <v>12</v>
      </c>
      <c r="D21" s="58" t="s">
        <v>327</v>
      </c>
      <c r="E21" s="68" t="s">
        <v>349</v>
      </c>
      <c r="F21" s="60">
        <v>2280</v>
      </c>
      <c r="G21" s="61">
        <v>1</v>
      </c>
      <c r="H21" s="62">
        <f t="shared" si="0"/>
        <v>2280</v>
      </c>
      <c r="I21" s="63" t="str">
        <f t="shared" si="1"/>
        <v>꽃샘 피어나다 히비스커스 자몽, 350g.jpg</v>
      </c>
      <c r="J21" s="63"/>
      <c r="K21" s="53" t="str">
        <f t="shared" si="2"/>
        <v>{"ITM_SEQ":"100","TYPE":"식품","TYPE_DTL":"미정","ITM_NM":"꽃샘 피어나다 히비스커스 자몽, 350g","PRICE":"2280","UNIT":"1","":"2280","IMG":"꽃샘 피어나다 히비스커스 자몽, 350g.jpg"},</v>
      </c>
    </row>
    <row r="22" spans="2:11" ht="14.4" customHeight="1">
      <c r="B22" s="56">
        <v>101</v>
      </c>
      <c r="C22" s="57" t="s">
        <v>12</v>
      </c>
      <c r="D22" s="58" t="s">
        <v>327</v>
      </c>
      <c r="E22" s="63" t="s">
        <v>221</v>
      </c>
      <c r="F22" s="60">
        <v>7670</v>
      </c>
      <c r="G22" s="61">
        <v>1</v>
      </c>
      <c r="H22" s="62">
        <f t="shared" si="0"/>
        <v>7670</v>
      </c>
      <c r="I22" s="63" t="str">
        <f t="shared" si="1"/>
        <v>꿀타이밍 야생화스틱15T.jpg</v>
      </c>
      <c r="J22" s="63"/>
      <c r="K22" s="53" t="str">
        <f t="shared" si="2"/>
        <v>{"ITM_SEQ":"101","TYPE":"식품","TYPE_DTL":"미정","ITM_NM":"꿀타이밍 야생화스틱15T","PRICE":"7670","UNIT":"1","":"7670","IMG":"꿀타이밍 야생화스틱15T.jpg"},</v>
      </c>
    </row>
    <row r="23" spans="2:11" ht="14.4" customHeight="1">
      <c r="B23" s="64">
        <v>102</v>
      </c>
      <c r="C23" s="57" t="s">
        <v>12</v>
      </c>
      <c r="D23" s="58" t="s">
        <v>327</v>
      </c>
      <c r="E23" s="63" t="s">
        <v>314</v>
      </c>
      <c r="F23" s="60">
        <v>350</v>
      </c>
      <c r="G23" s="61">
        <v>30</v>
      </c>
      <c r="H23" s="62">
        <f t="shared" si="0"/>
        <v>10500</v>
      </c>
      <c r="I23" s="63" t="str">
        <f t="shared" si="1"/>
        <v>나랑드사이다 245ml.jpg</v>
      </c>
      <c r="J23" s="63"/>
      <c r="K23" s="53" t="str">
        <f t="shared" si="2"/>
        <v>{"ITM_SEQ":"102","TYPE":"식품","TYPE_DTL":"미정","ITM_NM":"나랑드사이다 245ml","PRICE":"350","UNIT":"30","":"10500","IMG":"나랑드사이다 245ml.jpg"},</v>
      </c>
    </row>
    <row r="24" spans="2:11" ht="14.4" customHeight="1">
      <c r="B24" s="56">
        <v>103</v>
      </c>
      <c r="C24" s="57" t="s">
        <v>12</v>
      </c>
      <c r="D24" s="58" t="s">
        <v>327</v>
      </c>
      <c r="E24" s="63" t="s">
        <v>315</v>
      </c>
      <c r="F24" s="60">
        <v>370</v>
      </c>
      <c r="G24" s="61">
        <v>30</v>
      </c>
      <c r="H24" s="62">
        <f t="shared" si="0"/>
        <v>11100</v>
      </c>
      <c r="I24" s="63" t="str">
        <f t="shared" si="1"/>
        <v>나랑드사이다 그린애플 245ml.jpg</v>
      </c>
      <c r="J24" s="63"/>
      <c r="K24" s="53" t="str">
        <f t="shared" si="2"/>
        <v>{"ITM_SEQ":"103","TYPE":"식품","TYPE_DTL":"미정","ITM_NM":"나랑드사이다 그린애플 245ml","PRICE":"370","UNIT":"30","":"11100","IMG":"나랑드사이다 그린애플 245ml.jpg"},</v>
      </c>
    </row>
    <row r="25" spans="2:11" ht="14.4" customHeight="1">
      <c r="B25" s="64">
        <v>104</v>
      </c>
      <c r="C25" s="57" t="s">
        <v>12</v>
      </c>
      <c r="D25" s="58" t="s">
        <v>327</v>
      </c>
      <c r="E25" s="63" t="s">
        <v>316</v>
      </c>
      <c r="F25" s="60">
        <v>360</v>
      </c>
      <c r="G25" s="61">
        <v>30</v>
      </c>
      <c r="H25" s="62">
        <f t="shared" si="0"/>
        <v>10800</v>
      </c>
      <c r="I25" s="63" t="str">
        <f t="shared" si="1"/>
        <v>나랑드사이다 파인애플 245ml.jpg</v>
      </c>
      <c r="J25" s="63"/>
      <c r="K25" s="53" t="str">
        <f t="shared" si="2"/>
        <v>{"ITM_SEQ":"104","TYPE":"식품","TYPE_DTL":"미정","ITM_NM":"나랑드사이다 파인애플 245ml","PRICE":"360","UNIT":"30","":"10800","IMG":"나랑드사이다 파인애플 245ml.jpg"},</v>
      </c>
    </row>
    <row r="26" spans="2:11" ht="14.4" customHeight="1">
      <c r="B26" s="56">
        <v>202</v>
      </c>
      <c r="C26" s="57" t="s">
        <v>6</v>
      </c>
      <c r="D26" s="58" t="s">
        <v>327</v>
      </c>
      <c r="E26" s="69" t="s">
        <v>350</v>
      </c>
      <c r="F26" s="60">
        <v>1300</v>
      </c>
      <c r="G26" s="61">
        <v>5</v>
      </c>
      <c r="H26" s="62">
        <f t="shared" si="0"/>
        <v>6500</v>
      </c>
      <c r="I26" s="63" t="str">
        <f t="shared" si="1"/>
        <v>2080 덴탈크리닉 뉴샤이닝 화이트 치약, 140g.jpg</v>
      </c>
      <c r="J26" s="63"/>
      <c r="K26" s="53" t="str">
        <f t="shared" si="2"/>
        <v>{"ITM_SEQ":"202","TYPE":"기타","TYPE_DTL":"미정","ITM_NM":"2080 덴탈크리닉 뉴샤이닝 화이트 치약, 140g","PRICE":"1300","UNIT":"5","":"6500","IMG":"2080 덴탈크리닉 뉴샤이닝 화이트 치약, 140g.jpg"},</v>
      </c>
    </row>
    <row r="27" spans="2:11" ht="14.4" customHeight="1">
      <c r="B27" s="64">
        <v>49</v>
      </c>
      <c r="C27" s="57" t="s">
        <v>18</v>
      </c>
      <c r="D27" s="57" t="s">
        <v>24</v>
      </c>
      <c r="E27" s="63" t="s">
        <v>173</v>
      </c>
      <c r="F27" s="60">
        <v>4390</v>
      </c>
      <c r="G27" s="61">
        <v>1</v>
      </c>
      <c r="H27" s="62">
        <f t="shared" si="0"/>
        <v>4390</v>
      </c>
      <c r="I27" s="63" t="str">
        <f t="shared" si="1"/>
        <v>뉴트로지나 딥클린 아크네 포밍.jpg</v>
      </c>
      <c r="J27" s="63"/>
      <c r="K27" s="53" t="str">
        <f t="shared" si="2"/>
        <v>{"ITM_SEQ":"49","TYPE":"화장품","TYPE_DTL":"폼클렌징","ITM_NM":"뉴트로지나 딥클린 아크네 포밍","PRICE":"4390","UNIT":"1","":"4390","IMG":"뉴트로지나 딥클린 아크네 포밍.jpg"},</v>
      </c>
    </row>
    <row r="28" spans="2:11" ht="14.4" customHeight="1">
      <c r="B28" s="56">
        <v>58</v>
      </c>
      <c r="C28" s="57" t="s">
        <v>18</v>
      </c>
      <c r="D28" s="58" t="s">
        <v>323</v>
      </c>
      <c r="E28" s="68" t="s">
        <v>329</v>
      </c>
      <c r="F28" s="60">
        <v>3500</v>
      </c>
      <c r="G28" s="61">
        <v>1</v>
      </c>
      <c r="H28" s="62">
        <f t="shared" si="0"/>
        <v>3500</v>
      </c>
      <c r="I28" s="63" t="str">
        <f t="shared" si="1"/>
        <v>니베아 맨 센서티브 쉐이빙 폼, 250ml.jpg</v>
      </c>
      <c r="J28" s="63"/>
      <c r="K28" s="53" t="str">
        <f t="shared" si="2"/>
        <v>{"ITM_SEQ":"58","TYPE":"화장품","TYPE_DTL":"면도크림","ITM_NM":"니베아 맨 센서티브 쉐이빙 폼, 250ml","PRICE":"3500","UNIT":"1","":"3500","IMG":"니베아 맨 센서티브 쉐이빙 폼, 250ml.jpg"},</v>
      </c>
    </row>
    <row r="29" spans="2:11" ht="14.4" customHeight="1">
      <c r="B29" s="64">
        <v>5</v>
      </c>
      <c r="C29" s="70" t="s">
        <v>216</v>
      </c>
      <c r="D29" s="57" t="s">
        <v>11</v>
      </c>
      <c r="E29" s="63" t="s">
        <v>174</v>
      </c>
      <c r="F29" s="60">
        <v>6150</v>
      </c>
      <c r="G29" s="61">
        <v>1</v>
      </c>
      <c r="H29" s="62">
        <f t="shared" si="0"/>
        <v>6150</v>
      </c>
      <c r="I29" s="63" t="str">
        <f t="shared" si="1"/>
        <v>다우니 프리미엄 세탁세제 액체형 실내건조.jpg</v>
      </c>
      <c r="J29" s="63"/>
      <c r="K29" s="53" t="str">
        <f t="shared" si="2"/>
        <v>{"ITM_SEQ":"5","TYPE":"기타","TYPE_DTL":"세재","ITM_NM":"다우니 프리미엄 세탁세제 액체형 실내건조","PRICE":"6150","UNIT":"1","":"6150","IMG":"다우니 프리미엄 세탁세제 액체형 실내건조.jpg"},</v>
      </c>
    </row>
    <row r="30" spans="2:11" ht="14.4" customHeight="1">
      <c r="B30" s="56">
        <v>47</v>
      </c>
      <c r="C30" s="57" t="s">
        <v>18</v>
      </c>
      <c r="D30" s="57" t="s">
        <v>22</v>
      </c>
      <c r="E30" s="63" t="s">
        <v>175</v>
      </c>
      <c r="F30" s="60">
        <v>38930</v>
      </c>
      <c r="G30" s="61">
        <v>1</v>
      </c>
      <c r="H30" s="62">
        <f t="shared" si="0"/>
        <v>38930</v>
      </c>
      <c r="I30" s="63" t="str">
        <f t="shared" si="1"/>
        <v>다이아몬드 리페어 퍼펙트 세트.jpg</v>
      </c>
      <c r="J30" s="63" t="s">
        <v>23</v>
      </c>
      <c r="K30" s="53" t="str">
        <f t="shared" si="2"/>
        <v>{"ITM_SEQ":"47","TYPE":"화장품","TYPE_DTL":"영양크림","ITM_NM":"다이아몬드 리페어 퍼펙트 세트","PRICE":"38930","UNIT":"1","":"38930","IMG":"다이아몬드 리페어 퍼펙트 세트.jpg"},</v>
      </c>
    </row>
    <row r="31" spans="2:11" ht="14.4" customHeight="1">
      <c r="B31" s="64">
        <v>121</v>
      </c>
      <c r="C31" s="57" t="s">
        <v>18</v>
      </c>
      <c r="D31" s="58" t="s">
        <v>324</v>
      </c>
      <c r="E31" s="68" t="s">
        <v>331</v>
      </c>
      <c r="F31" s="60">
        <v>10800</v>
      </c>
      <c r="G31" s="61">
        <v>1</v>
      </c>
      <c r="H31" s="62">
        <f t="shared" si="0"/>
        <v>10800</v>
      </c>
      <c r="I31" s="63" t="str">
        <f t="shared" si="1"/>
        <v>닥터자르트 바이탈 하이드라 솔루션 하이드로 플럼프 트리트먼트 에센스, 150ml.jpg</v>
      </c>
      <c r="J31" s="63"/>
      <c r="K31" s="53" t="str">
        <f t="shared" si="2"/>
        <v>{"ITM_SEQ":"121","TYPE":"화장품","TYPE_DTL":"에센스","ITM_NM":"닥터자르트 바이탈 하이드라 솔루션 하이드로 플럼프 트리트먼트 에센스, 150ml","PRICE":"10800","UNIT":"1","":"10800","IMG":"닥터자르트 바이탈 하이드라 솔루션 하이드로 플럼프 트리트먼트 에센스, 150ml.jpg"},</v>
      </c>
    </row>
    <row r="32" spans="2:11" ht="14.4" customHeight="1">
      <c r="B32" s="56">
        <v>118</v>
      </c>
      <c r="C32" s="57" t="s">
        <v>18</v>
      </c>
      <c r="D32" s="57" t="s">
        <v>20</v>
      </c>
      <c r="E32" s="68" t="s">
        <v>332</v>
      </c>
      <c r="F32" s="60">
        <v>7900</v>
      </c>
      <c r="G32" s="61">
        <v>1</v>
      </c>
      <c r="H32" s="62">
        <f t="shared" si="0"/>
        <v>7900</v>
      </c>
      <c r="I32" s="63" t="str">
        <f t="shared" si="1"/>
        <v>닥터지 그린 마일드 업 선 스틱, 20g.jpg</v>
      </c>
      <c r="J32" s="63"/>
      <c r="K32" s="53" t="str">
        <f t="shared" si="2"/>
        <v>{"ITM_SEQ":"118","TYPE":"화장품","TYPE_DTL":"선크림","ITM_NM":"닥터지 그린 마일드 업 선 스틱, 20g","PRICE":"7900","UNIT":"1","":"7900","IMG":"닥터지 그린 마일드 업 선 스틱, 20g.jpg"},</v>
      </c>
    </row>
    <row r="33" spans="2:11" ht="14.4" customHeight="1">
      <c r="B33" s="64">
        <v>127</v>
      </c>
      <c r="C33" s="57" t="s">
        <v>18</v>
      </c>
      <c r="D33" s="57" t="s">
        <v>22</v>
      </c>
      <c r="E33" s="68" t="s">
        <v>334</v>
      </c>
      <c r="F33" s="60">
        <v>11100</v>
      </c>
      <c r="G33" s="61">
        <v>1</v>
      </c>
      <c r="H33" s="62">
        <f t="shared" si="0"/>
        <v>11100</v>
      </c>
      <c r="I33" s="63" t="str">
        <f t="shared" si="1"/>
        <v>닥터지 더모이스처 배리어 D 로션, 200ml.jpg</v>
      </c>
      <c r="J33" s="63"/>
      <c r="K33" s="53" t="str">
        <f t="shared" si="2"/>
        <v>{"ITM_SEQ":"127","TYPE":"화장품","TYPE_DTL":"영양크림","ITM_NM":"닥터지 더모이스처 배리어 D 로션, 200ml","PRICE":"11100","UNIT":"1","":"11100","IMG":"닥터지 더모이스처 배리어 D 로션, 200ml.jpg"},</v>
      </c>
    </row>
    <row r="34" spans="2:11" ht="14.4" customHeight="1">
      <c r="B34" s="56">
        <v>48</v>
      </c>
      <c r="C34" s="57" t="s">
        <v>18</v>
      </c>
      <c r="D34" s="57" t="s">
        <v>24</v>
      </c>
      <c r="E34" s="63" t="s">
        <v>176</v>
      </c>
      <c r="F34" s="60">
        <v>4320</v>
      </c>
      <c r="G34" s="61">
        <v>1</v>
      </c>
      <c r="H34" s="62">
        <f t="shared" si="0"/>
        <v>4320</v>
      </c>
      <c r="I34" s="63" t="str">
        <f t="shared" si="1"/>
        <v>닥터지 레드 블레미쉬 모이스처 클렌징 폼.jpg</v>
      </c>
      <c r="J34" s="63"/>
      <c r="K34" s="53" t="str">
        <f t="shared" si="2"/>
        <v>{"ITM_SEQ":"48","TYPE":"화장품","TYPE_DTL":"폼클렌징","ITM_NM":"닥터지 레드 블레미쉬 모이스처 클렌징 폼","PRICE":"4320","UNIT":"1","":"4320","IMG":"닥터지 레드 블레미쉬 모이스처 클렌징 폼.jpg"},</v>
      </c>
    </row>
    <row r="35" spans="2:11" ht="14.4" customHeight="1">
      <c r="B35" s="64">
        <v>50</v>
      </c>
      <c r="C35" s="57" t="s">
        <v>18</v>
      </c>
      <c r="D35" s="57" t="s">
        <v>177</v>
      </c>
      <c r="E35" s="63" t="s">
        <v>178</v>
      </c>
      <c r="F35" s="60">
        <v>10140</v>
      </c>
      <c r="G35" s="61">
        <v>1</v>
      </c>
      <c r="H35" s="62">
        <f t="shared" si="0"/>
        <v>10140</v>
      </c>
      <c r="I35" s="63" t="str">
        <f t="shared" si="1"/>
        <v>닥터지 레드 블레미쉬 클리어 수딩 토너, 500ml.jpg</v>
      </c>
      <c r="J35" s="63"/>
      <c r="K35" s="53" t="str">
        <f t="shared" si="2"/>
        <v>{"ITM_SEQ":"50","TYPE":"화장품","TYPE_DTL":"토너","ITM_NM":"닥터지 레드 블레미쉬 클리어 수딩 토너, 500ml","PRICE":"10140","UNIT":"1","":"10140","IMG":"닥터지 레드 블레미쉬 클리어 수딩 토너, 500ml.jpg"},</v>
      </c>
    </row>
    <row r="36" spans="2:11" ht="14.4" customHeight="1">
      <c r="B36" s="56">
        <v>128</v>
      </c>
      <c r="C36" s="57" t="s">
        <v>18</v>
      </c>
      <c r="D36" s="57" t="s">
        <v>22</v>
      </c>
      <c r="E36" s="71" t="s">
        <v>335</v>
      </c>
      <c r="F36" s="60">
        <v>6770</v>
      </c>
      <c r="G36" s="61">
        <v>1</v>
      </c>
      <c r="H36" s="62">
        <f t="shared" si="0"/>
        <v>6770</v>
      </c>
      <c r="I36" s="63" t="str">
        <f t="shared" si="1"/>
        <v>닥터지 레드 블레미쉬 클리어 크림, 70ml.jpg</v>
      </c>
      <c r="J36" s="63"/>
      <c r="K36" s="53" t="str">
        <f t="shared" si="2"/>
        <v>{"ITM_SEQ":"128","TYPE":"화장품","TYPE_DTL":"영양크림","ITM_NM":"닥터지 레드 블레미쉬 클리어 크림, 70ml","PRICE":"6770","UNIT":"1","":"6770","IMG":"닥터지 레드 블레미쉬 클리어 크림, 70ml.jpg"},</v>
      </c>
    </row>
    <row r="37" spans="2:11" ht="14.4" customHeight="1">
      <c r="B37" s="64">
        <v>129</v>
      </c>
      <c r="C37" s="57" t="s">
        <v>18</v>
      </c>
      <c r="D37" s="57" t="s">
        <v>22</v>
      </c>
      <c r="E37" s="68" t="s">
        <v>336</v>
      </c>
      <c r="F37" s="60">
        <v>21400</v>
      </c>
      <c r="G37" s="61">
        <v>1</v>
      </c>
      <c r="H37" s="62">
        <f t="shared" si="0"/>
        <v>21400</v>
      </c>
      <c r="I37" s="63" t="str">
        <f t="shared" si="1"/>
        <v>닥터지 로얄 블랙 스네일 탄력 스페셜 세트 (에센스 + 크림 + 아이크림 + 마스크팩).jpg</v>
      </c>
      <c r="J37" s="63"/>
      <c r="K37" s="53" t="str">
        <f t="shared" si="2"/>
        <v>{"ITM_SEQ":"129","TYPE":"화장품","TYPE_DTL":"영양크림","ITM_NM":"닥터지 로얄 블랙 스네일 탄력 스페셜 세트 (에센스 + 크림 + 아이크림 + 마스크팩)","PRICE":"21400","UNIT":"1","":"21400","IMG":"닥터지 로얄 블랙 스네일 탄력 스페셜 세트 (에센스 + 크림 + 아이크림 + 마스크팩).jpg"},</v>
      </c>
    </row>
    <row r="38" spans="2:11" ht="14.4" customHeight="1">
      <c r="B38" s="64">
        <v>45</v>
      </c>
      <c r="C38" s="57" t="s">
        <v>18</v>
      </c>
      <c r="D38" s="57" t="s">
        <v>22</v>
      </c>
      <c r="E38" s="63" t="s">
        <v>179</v>
      </c>
      <c r="F38" s="60">
        <v>10080</v>
      </c>
      <c r="G38" s="61">
        <v>1</v>
      </c>
      <c r="H38" s="62">
        <f t="shared" si="0"/>
        <v>10080</v>
      </c>
      <c r="I38" s="63" t="str">
        <f t="shared" si="1"/>
        <v>닥터지 로얄 블랙스네일 크림.jpg</v>
      </c>
      <c r="J38" s="63"/>
      <c r="K38" s="53" t="str">
        <f t="shared" si="2"/>
        <v>{"ITM_SEQ":"45","TYPE":"화장품","TYPE_DTL":"영양크림","ITM_NM":"닥터지 로얄 블랙스네일 크림","PRICE":"10080","UNIT":"1","":"10080","IMG":"닥터지 로얄 블랙스네일 크림.jpg"},</v>
      </c>
    </row>
    <row r="39" spans="2:11" ht="14.4" customHeight="1">
      <c r="B39" s="64">
        <v>40</v>
      </c>
      <c r="C39" s="57" t="s">
        <v>18</v>
      </c>
      <c r="D39" s="57" t="s">
        <v>20</v>
      </c>
      <c r="E39" s="63" t="s">
        <v>180</v>
      </c>
      <c r="F39" s="60">
        <v>4750</v>
      </c>
      <c r="G39" s="61">
        <v>1</v>
      </c>
      <c r="H39" s="62">
        <f t="shared" si="0"/>
        <v>4750</v>
      </c>
      <c r="I39" s="63" t="str">
        <f t="shared" si="1"/>
        <v>닥터지 메디유브이 울트라 선 50ml.jpg</v>
      </c>
      <c r="J39" s="63"/>
      <c r="K39" s="53" t="str">
        <f t="shared" si="2"/>
        <v>{"ITM_SEQ":"40","TYPE":"화장품","TYPE_DTL":"선크림","ITM_NM":"닥터지 메디유브이 울트라 선 50ml","PRICE":"4750","UNIT":"1","":"4750","IMG":"닥터지 메디유브이 울트라 선 50ml.jpg"},</v>
      </c>
    </row>
    <row r="40" spans="2:11" ht="14.4" customHeight="1">
      <c r="B40" s="56">
        <v>126</v>
      </c>
      <c r="C40" s="57" t="s">
        <v>18</v>
      </c>
      <c r="D40" s="57" t="s">
        <v>22</v>
      </c>
      <c r="E40" s="68" t="s">
        <v>330</v>
      </c>
      <c r="F40" s="60">
        <v>10080</v>
      </c>
      <c r="G40" s="61">
        <v>1</v>
      </c>
      <c r="H40" s="62">
        <f t="shared" si="0"/>
        <v>10080</v>
      </c>
      <c r="I40" s="63" t="str">
        <f t="shared" si="1"/>
        <v>닥터지 블랙 스네일크림, 50ml.jpg</v>
      </c>
      <c r="J40" s="63"/>
      <c r="K40" s="53" t="str">
        <f t="shared" si="2"/>
        <v>{"ITM_SEQ":"126","TYPE":"화장품","TYPE_DTL":"영양크림","ITM_NM":"닥터지 블랙 스네일크림, 50ml","PRICE":"10080","UNIT":"1","":"10080","IMG":"닥터지 블랙 스네일크림, 50ml.jpg"},</v>
      </c>
    </row>
    <row r="41" spans="2:11" ht="14.4" customHeight="1">
      <c r="B41" s="64">
        <v>117</v>
      </c>
      <c r="C41" s="70" t="s">
        <v>216</v>
      </c>
      <c r="D41" s="58" t="s">
        <v>326</v>
      </c>
      <c r="E41" s="68" t="s">
        <v>351</v>
      </c>
      <c r="F41" s="60">
        <v>6900</v>
      </c>
      <c r="G41" s="61">
        <v>1</v>
      </c>
      <c r="H41" s="62">
        <f t="shared" si="0"/>
        <v>6900</v>
      </c>
      <c r="I41" s="63" t="str">
        <f t="shared" si="1"/>
        <v>더프트앤도프트 파인 프라그란스 바디미스트 핑크브리즈향, 150ml.jpg</v>
      </c>
      <c r="J41" s="63"/>
      <c r="K41" s="53" t="str">
        <f t="shared" si="2"/>
        <v>{"ITM_SEQ":"117","TYPE":"기타","TYPE_DTL":"바디","ITM_NM":"더프트앤도프트 파인 프라그란스 바디미스트 핑크브리즈향, 150ml","PRICE":"6900","UNIT":"1","":"6900","IMG":"더프트앤도프트 파인 프라그란스 바디미스트 핑크브리즈향, 150ml.jpg"},</v>
      </c>
    </row>
    <row r="42" spans="2:11" ht="14.4" customHeight="1">
      <c r="B42" s="64">
        <v>105</v>
      </c>
      <c r="C42" s="57" t="s">
        <v>12</v>
      </c>
      <c r="D42" s="58" t="s">
        <v>327</v>
      </c>
      <c r="E42" s="68" t="s">
        <v>352</v>
      </c>
      <c r="F42" s="60">
        <v>430</v>
      </c>
      <c r="G42" s="61">
        <v>30</v>
      </c>
      <c r="H42" s="62">
        <f t="shared" si="0"/>
        <v>12900</v>
      </c>
      <c r="I42" s="63" t="str">
        <f t="shared" si="1"/>
        <v>데미소다 복숭아, 250ml.jpg</v>
      </c>
      <c r="J42" s="63"/>
      <c r="K42" s="53" t="str">
        <f t="shared" si="2"/>
        <v>{"ITM_SEQ":"105","TYPE":"식품","TYPE_DTL":"미정","ITM_NM":"데미소다 복숭아, 250ml","PRICE":"430","UNIT":"30","":"12900","IMG":"데미소다 복숭아, 250ml.jpg"},</v>
      </c>
    </row>
    <row r="43" spans="2:11" ht="14.4" customHeight="1">
      <c r="B43" s="64">
        <v>203</v>
      </c>
      <c r="C43" s="57" t="s">
        <v>6</v>
      </c>
      <c r="D43" s="58" t="s">
        <v>327</v>
      </c>
      <c r="E43" s="68" t="s">
        <v>353</v>
      </c>
      <c r="F43" s="60">
        <v>2400</v>
      </c>
      <c r="G43" s="61">
        <v>1</v>
      </c>
      <c r="H43" s="62">
        <f t="shared" si="0"/>
        <v>2400</v>
      </c>
      <c r="I43" s="63" t="str">
        <f t="shared" si="1"/>
        <v>스팀베이스 데일리 아이마스크 라벤더향, 14매입.jpg</v>
      </c>
      <c r="J43" s="63"/>
      <c r="K43" s="53" t="str">
        <f t="shared" si="2"/>
        <v>{"ITM_SEQ":"203","TYPE":"기타","TYPE_DTL":"미정","ITM_NM":"스팀베이스 데일리 아이마스크 라벤더향, 14매입","PRICE":"2400","UNIT":"1","":"2400","IMG":"스팀베이스 데일리 아이마스크 라벤더향, 14매입.jpg"},</v>
      </c>
    </row>
    <row r="44" spans="2:11" ht="14.4" customHeight="1">
      <c r="B44" s="64">
        <v>51</v>
      </c>
      <c r="C44" s="57" t="s">
        <v>12</v>
      </c>
      <c r="D44" s="58" t="s">
        <v>216</v>
      </c>
      <c r="E44" s="68" t="s">
        <v>354</v>
      </c>
      <c r="F44" s="60">
        <v>21840</v>
      </c>
      <c r="G44" s="61">
        <v>1</v>
      </c>
      <c r="H44" s="62">
        <f t="shared" si="0"/>
        <v>21840</v>
      </c>
      <c r="I44" s="63" t="str">
        <f t="shared" si="1"/>
        <v>데체코 올리오 엑스트라 버진 디 올리바, 1L.jpg</v>
      </c>
      <c r="J44" s="63"/>
      <c r="K44" s="53" t="str">
        <f t="shared" si="2"/>
        <v>{"ITM_SEQ":"51","TYPE":"식품","TYPE_DTL":"기타","ITM_NM":"데체코 올리오 엑스트라 버진 디 올리바, 1L","PRICE":"21840","UNIT":"1","":"21840","IMG":"데체코 올리오 엑스트라 버진 디 올리바, 1L.jpg"},</v>
      </c>
    </row>
    <row r="45" spans="2:11" ht="14.4" customHeight="1">
      <c r="B45" s="64">
        <v>106</v>
      </c>
      <c r="C45" s="57" t="s">
        <v>12</v>
      </c>
      <c r="D45" s="58" t="s">
        <v>327</v>
      </c>
      <c r="E45" s="68" t="s">
        <v>358</v>
      </c>
      <c r="F45" s="60">
        <v>4360</v>
      </c>
      <c r="G45" s="61">
        <v>4</v>
      </c>
      <c r="H45" s="62">
        <f t="shared" si="0"/>
        <v>17440</v>
      </c>
      <c r="I45" s="63" t="str">
        <f t="shared" si="1"/>
        <v>동원참치 고추 참치, 90g.jpg</v>
      </c>
      <c r="J45" s="63"/>
      <c r="K45" s="53" t="str">
        <f t="shared" si="2"/>
        <v>{"ITM_SEQ":"106","TYPE":"식품","TYPE_DTL":"미정","ITM_NM":"동원참치 고추 참치, 90g","PRICE":"4360","UNIT":"4","":"17440","IMG":"동원참치 고추 참치, 90g.jpg"},</v>
      </c>
    </row>
    <row r="46" spans="2:11" ht="14.4" customHeight="1">
      <c r="B46" s="64">
        <v>107</v>
      </c>
      <c r="C46" s="57" t="s">
        <v>12</v>
      </c>
      <c r="D46" s="58" t="s">
        <v>327</v>
      </c>
      <c r="E46" s="71" t="s">
        <v>355</v>
      </c>
      <c r="F46" s="60">
        <v>4740</v>
      </c>
      <c r="G46" s="61">
        <v>4</v>
      </c>
      <c r="H46" s="62">
        <f t="shared" si="0"/>
        <v>18960</v>
      </c>
      <c r="I46" s="63" t="str">
        <f t="shared" si="1"/>
        <v>동원참치 라이트스탠다드 90g.jpg</v>
      </c>
      <c r="J46" s="63"/>
      <c r="K46" s="53" t="str">
        <f t="shared" si="2"/>
        <v>{"ITM_SEQ":"107","TYPE":"식품","TYPE_DTL":"미정","ITM_NM":"동원참치 라이트스탠다드 90g","PRICE":"4740","UNIT":"4","":"18960","IMG":"동원참치 라이트스탠다드 90g.jpg"},</v>
      </c>
    </row>
    <row r="47" spans="2:11" ht="14.4" customHeight="1">
      <c r="B47" s="64">
        <v>131</v>
      </c>
      <c r="C47" s="57" t="s">
        <v>18</v>
      </c>
      <c r="D47" s="57" t="s">
        <v>22</v>
      </c>
      <c r="E47" s="63" t="s">
        <v>222</v>
      </c>
      <c r="F47" s="60">
        <v>21010</v>
      </c>
      <c r="G47" s="61">
        <v>1</v>
      </c>
      <c r="H47" s="62">
        <f t="shared" si="0"/>
        <v>21010</v>
      </c>
      <c r="I47" s="63" t="str">
        <f t="shared" si="1"/>
        <v>듀이트리 울트라 바이탈라이징 스네일 달팽이 3종 세트.jpg</v>
      </c>
      <c r="J47" s="63"/>
      <c r="K47" s="53" t="str">
        <f t="shared" si="2"/>
        <v>{"ITM_SEQ":"131","TYPE":"화장품","TYPE_DTL":"영양크림","ITM_NM":"듀이트리 울트라 바이탈라이징 스네일 달팽이 3종 세트","PRICE":"21010","UNIT":"1","":"21010","IMG":"듀이트리 울트라 바이탈라이징 스네일 달팽이 3종 세트.jpg"},</v>
      </c>
    </row>
    <row r="48" spans="2:11" ht="14.4" customHeight="1">
      <c r="B48" s="64">
        <v>122</v>
      </c>
      <c r="C48" s="57" t="s">
        <v>18</v>
      </c>
      <c r="D48" s="58" t="s">
        <v>324</v>
      </c>
      <c r="E48" s="68" t="s">
        <v>338</v>
      </c>
      <c r="F48" s="60">
        <v>5700</v>
      </c>
      <c r="G48" s="61">
        <v>1</v>
      </c>
      <c r="H48" s="62">
        <f t="shared" si="0"/>
        <v>5700</v>
      </c>
      <c r="I48" s="63" t="str">
        <f t="shared" si="1"/>
        <v>듀이트리 울트라 바이탈라이징 스네일 에센스워터, 150ml.jpg</v>
      </c>
      <c r="J48" s="63"/>
      <c r="K48" s="53" t="str">
        <f t="shared" si="2"/>
        <v>{"ITM_SEQ":"122","TYPE":"화장품","TYPE_DTL":"에센스","ITM_NM":"듀이트리 울트라 바이탈라이징 스네일 에센스워터, 150ml","PRICE":"5700","UNIT":"1","":"5700","IMG":"듀이트리 울트라 바이탈라이징 스네일 에센스워터, 150ml.jpg"},</v>
      </c>
    </row>
    <row r="49" spans="2:11" ht="14.4" customHeight="1">
      <c r="B49" s="64">
        <v>132</v>
      </c>
      <c r="C49" s="57" t="s">
        <v>18</v>
      </c>
      <c r="D49" s="57" t="s">
        <v>22</v>
      </c>
      <c r="E49" s="68" t="s">
        <v>356</v>
      </c>
      <c r="F49" s="60">
        <v>9880</v>
      </c>
      <c r="G49" s="61">
        <v>1</v>
      </c>
      <c r="H49" s="62">
        <f t="shared" si="0"/>
        <v>9880</v>
      </c>
      <c r="I49" s="63" t="str">
        <f t="shared" si="1"/>
        <v>듀이트리 울트라 바이탈라이징 스네일 크림 80ml+샘플 10ml.jpg</v>
      </c>
      <c r="J49" s="63"/>
      <c r="K49" s="53" t="str">
        <f t="shared" si="2"/>
        <v>{"ITM_SEQ":"132","TYPE":"화장품","TYPE_DTL":"영양크림","ITM_NM":"듀이트리 울트라 바이탈라이징 스네일 크림 80ml+샘플 10ml","PRICE":"9880","UNIT":"1","":"9880","IMG":"듀이트리 울트라 바이탈라이징 스네일 크림 80ml+샘플 10ml.jpg"},</v>
      </c>
    </row>
    <row r="50" spans="2:11" ht="14.4" customHeight="1">
      <c r="B50" s="64">
        <v>204</v>
      </c>
      <c r="C50" s="57" t="s">
        <v>6</v>
      </c>
      <c r="D50" s="58" t="s">
        <v>327</v>
      </c>
      <c r="E50" s="68" t="s">
        <v>357</v>
      </c>
      <c r="F50" s="60">
        <v>6860</v>
      </c>
      <c r="G50" s="61">
        <v>1</v>
      </c>
      <c r="H50" s="62">
        <f t="shared" si="0"/>
        <v>6860</v>
      </c>
      <c r="I50" s="63" t="str">
        <f t="shared" si="1"/>
        <v>라보에이치 프로바이오틱스 탈모증상완화 샴푸 두피쿨링, 400ml.jpg</v>
      </c>
      <c r="J50" s="63"/>
      <c r="K50" s="53" t="str">
        <f t="shared" si="2"/>
        <v>{"ITM_SEQ":"204","TYPE":"기타","TYPE_DTL":"미정","ITM_NM":"라보에이치 프로바이오틱스 탈모증상완화 샴푸 두피쿨링, 400ml","PRICE":"6860","UNIT":"1","":"6860","IMG":"라보에이치 프로바이오틱스 탈모증상완화 샴푸 두피쿨링, 400ml.jpg"},</v>
      </c>
    </row>
    <row r="51" spans="2:11" ht="14.4" customHeight="1">
      <c r="B51" s="64">
        <v>54</v>
      </c>
      <c r="C51" s="57" t="s">
        <v>18</v>
      </c>
      <c r="D51" s="57" t="s">
        <v>19</v>
      </c>
      <c r="E51" s="65" t="s">
        <v>337</v>
      </c>
      <c r="F51" s="60">
        <v>11800</v>
      </c>
      <c r="G51" s="61">
        <v>1</v>
      </c>
      <c r="H51" s="62">
        <f t="shared" si="0"/>
        <v>11800</v>
      </c>
      <c r="I51" s="63" t="str">
        <f t="shared" si="1"/>
        <v>라운드랩 1025 독도 수분 워터겔 마스크 30ml.jpg</v>
      </c>
      <c r="J51" s="63"/>
      <c r="K51" s="53" t="str">
        <f t="shared" si="2"/>
        <v>{"ITM_SEQ":"54","TYPE":"화장품","TYPE_DTL":"마스크팩","ITM_NM":"라운드랩 1025 독도 수분 워터겔 마스크 30ml","PRICE":"11800","UNIT":"1","":"11800","IMG":"라운드랩 1025 독도 수분 워터겔 마스크 30ml.jpg"},</v>
      </c>
    </row>
    <row r="52" spans="2:11" ht="14.4" customHeight="1">
      <c r="B52" s="64">
        <v>137</v>
      </c>
      <c r="C52" s="57" t="s">
        <v>18</v>
      </c>
      <c r="D52" s="57" t="s">
        <v>177</v>
      </c>
      <c r="E52" s="63" t="s">
        <v>223</v>
      </c>
      <c r="F52" s="60">
        <v>9000</v>
      </c>
      <c r="G52" s="61">
        <v>1</v>
      </c>
      <c r="H52" s="62">
        <f t="shared" si="0"/>
        <v>9000</v>
      </c>
      <c r="I52" s="63" t="str">
        <f t="shared" si="1"/>
        <v>라운드랩 1025 독도 토너 대용량, 500ml.jpg</v>
      </c>
      <c r="J52" s="63"/>
      <c r="K52" s="53" t="str">
        <f t="shared" si="2"/>
        <v>{"ITM_SEQ":"137","TYPE":"화장품","TYPE_DTL":"토너","ITM_NM":"라운드랩 1025 독도 토너 대용량, 500ml","PRICE":"9000","UNIT":"1","":"9000","IMG":"라운드랩 1025 독도 토너 대용량, 500ml.jpg"},</v>
      </c>
    </row>
    <row r="53" spans="2:11" ht="14.4" customHeight="1">
      <c r="B53" s="64">
        <v>133</v>
      </c>
      <c r="C53" s="57" t="s">
        <v>18</v>
      </c>
      <c r="D53" s="57" t="s">
        <v>22</v>
      </c>
      <c r="E53" s="68" t="s">
        <v>339</v>
      </c>
      <c r="F53" s="60">
        <v>10200</v>
      </c>
      <c r="G53" s="61">
        <v>1</v>
      </c>
      <c r="H53" s="62">
        <f t="shared" si="0"/>
        <v>10200</v>
      </c>
      <c r="I53" s="63" t="str">
        <f t="shared" si="1"/>
        <v>라운드랩 약콩 판테놀 크림, 80ml.jpg</v>
      </c>
      <c r="J53" s="63"/>
      <c r="K53" s="53" t="str">
        <f t="shared" ref="K53:K100" si="3">_xlfn.CONCAT("{""",$B$3,""":""",B53,""",""",$C$3,""":""",C53,""",""",$D$3,""":""",D53,""",""",$E$3,""":""",E53,""",""",$F$3,""":""",F53,""",""",$G$3,""":""",G53,""",""",$H$3,""":""",H53,""",""",$I$3,""":""",I53,"""},")</f>
        <v>{"ITM_SEQ":"133","TYPE":"화장품","TYPE_DTL":"영양크림","ITM_NM":"라운드랩 약콩 판테놀 크림, 80ml","PRICE":"10200","UNIT":"1","":"10200","IMG":"라운드랩 약콩 판테놀 크림, 80ml.jpg"},</v>
      </c>
    </row>
    <row r="54" spans="2:11" ht="14.4" customHeight="1">
      <c r="B54" s="64">
        <v>205</v>
      </c>
      <c r="C54" s="57" t="s">
        <v>6</v>
      </c>
      <c r="D54" s="58" t="s">
        <v>327</v>
      </c>
      <c r="E54" s="71" t="s">
        <v>359</v>
      </c>
      <c r="F54" s="60">
        <v>4020</v>
      </c>
      <c r="G54" s="61">
        <v>1</v>
      </c>
      <c r="H54" s="62">
        <f t="shared" si="0"/>
        <v>4020</v>
      </c>
      <c r="I54" s="63" t="str">
        <f t="shared" si="1"/>
        <v>려 흑운 모근강화 볼륨케어 샴푸, 500ml.jpg</v>
      </c>
      <c r="J54" s="63"/>
      <c r="K54" s="53" t="str">
        <f t="shared" si="3"/>
        <v>{"ITM_SEQ":"205","TYPE":"기타","TYPE_DTL":"미정","ITM_NM":"려 흑운 모근강화 볼륨케어 샴푸, 500ml","PRICE":"4020","UNIT":"1","":"4020","IMG":"려 흑운 모근강화 볼륨케어 샴푸, 500ml.jpg"},</v>
      </c>
    </row>
    <row r="55" spans="2:11" ht="14.4" customHeight="1">
      <c r="B55" s="64">
        <v>32</v>
      </c>
      <c r="C55" s="57" t="s">
        <v>12</v>
      </c>
      <c r="D55" s="57" t="s">
        <v>113</v>
      </c>
      <c r="E55" s="63" t="s">
        <v>114</v>
      </c>
      <c r="F55" s="60">
        <v>440</v>
      </c>
      <c r="G55" s="61">
        <v>12</v>
      </c>
      <c r="H55" s="62">
        <f t="shared" si="0"/>
        <v>5280</v>
      </c>
      <c r="I55" s="63" t="str">
        <f t="shared" si="1"/>
        <v>롯데햄 키스틱 더블치즈 소시지.jpg</v>
      </c>
      <c r="J55" s="63"/>
      <c r="K55" s="53" t="str">
        <f t="shared" si="3"/>
        <v>{"ITM_SEQ":"32","TYPE":"식품","TYPE_DTL":"소세지","ITM_NM":"롯데햄 키스틱 더블치즈 소시지","PRICE":"440","UNIT":"12","":"5280","IMG":"롯데햄 키스틱 더블치즈 소시지.jpg"},</v>
      </c>
    </row>
    <row r="56" spans="2:11" ht="14.4" customHeight="1">
      <c r="B56" s="64">
        <v>108</v>
      </c>
      <c r="C56" s="57" t="s">
        <v>12</v>
      </c>
      <c r="D56" s="58" t="s">
        <v>327</v>
      </c>
      <c r="E56" s="68" t="s">
        <v>360</v>
      </c>
      <c r="F56" s="60">
        <v>1790</v>
      </c>
      <c r="G56" s="61">
        <v>5</v>
      </c>
      <c r="H56" s="62">
        <f t="shared" si="0"/>
        <v>8950</v>
      </c>
      <c r="I56" s="63" t="str">
        <f t="shared" si="1"/>
        <v>크라운 NEW 롱스.jpg</v>
      </c>
      <c r="J56" s="63"/>
      <c r="K56" s="53" t="str">
        <f t="shared" si="3"/>
        <v>{"ITM_SEQ":"108","TYPE":"식품","TYPE_DTL":"미정","ITM_NM":"크라운 NEW 롱스","PRICE":"1790","UNIT":"5","":"8950","IMG":"크라운 NEW 롱스.jpg"},</v>
      </c>
    </row>
    <row r="57" spans="2:11" ht="14.4" customHeight="1">
      <c r="B57" s="64">
        <v>43</v>
      </c>
      <c r="C57" s="57" t="s">
        <v>18</v>
      </c>
      <c r="D57" s="57" t="s">
        <v>22</v>
      </c>
      <c r="E57" s="63" t="s">
        <v>181</v>
      </c>
      <c r="F57" s="60">
        <v>4710</v>
      </c>
      <c r="G57" s="61">
        <v>1</v>
      </c>
      <c r="H57" s="62">
        <f t="shared" si="0"/>
        <v>4710</v>
      </c>
      <c r="I57" s="63" t="str">
        <f t="shared" si="1"/>
        <v>마녀공장 비피다 바이옴 수분 장벽 강화 크림 기획세트.jpg</v>
      </c>
      <c r="J57" s="63"/>
      <c r="K57" s="53" t="str">
        <f t="shared" si="3"/>
        <v>{"ITM_SEQ":"43","TYPE":"화장품","TYPE_DTL":"영양크림","ITM_NM":"마녀공장 비피다 바이옴 수분 장벽 강화 크림 기획세트","PRICE":"4710","UNIT":"1","":"4710","IMG":"마녀공장 비피다 바이옴 수분 장벽 강화 크림 기획세트.jpg"},</v>
      </c>
    </row>
    <row r="58" spans="2:11" ht="14.4" customHeight="1">
      <c r="B58" s="64">
        <v>139</v>
      </c>
      <c r="C58" s="57" t="s">
        <v>18</v>
      </c>
      <c r="D58" s="57" t="s">
        <v>24</v>
      </c>
      <c r="E58" s="68" t="s">
        <v>340</v>
      </c>
      <c r="F58" s="60">
        <v>3750</v>
      </c>
      <c r="G58" s="61">
        <v>1</v>
      </c>
      <c r="H58" s="62">
        <f t="shared" si="0"/>
        <v>3750</v>
      </c>
      <c r="I58" s="63" t="str">
        <f t="shared" si="1"/>
        <v>마녀공장 퓨리파잉 소다폼, 150ml.jpg</v>
      </c>
      <c r="J58" s="63"/>
      <c r="K58" s="53" t="str">
        <f t="shared" si="3"/>
        <v>{"ITM_SEQ":"139","TYPE":"화장품","TYPE_DTL":"폼클렌징","ITM_NM":"마녀공장 퓨리파잉 소다폼, 150ml","PRICE":"3750","UNIT":"1","":"3750","IMG":"마녀공장 퓨리파잉 소다폼, 150ml.jpg"},</v>
      </c>
    </row>
    <row r="59" spans="2:11" ht="14.4" customHeight="1">
      <c r="B59" s="64">
        <v>206</v>
      </c>
      <c r="C59" s="57" t="s">
        <v>6</v>
      </c>
      <c r="D59" s="58" t="s">
        <v>327</v>
      </c>
      <c r="E59" s="63" t="s">
        <v>224</v>
      </c>
      <c r="F59" s="60">
        <v>2300</v>
      </c>
      <c r="G59" s="61">
        <v>1</v>
      </c>
      <c r="H59" s="62">
        <f t="shared" si="0"/>
        <v>2300</v>
      </c>
      <c r="I59" s="63" t="str">
        <f t="shared" si="1"/>
        <v>마데카메디패치스팟패피 51매.jpg</v>
      </c>
      <c r="J59" s="63"/>
      <c r="K59" s="53" t="str">
        <f t="shared" si="3"/>
        <v>{"ITM_SEQ":"206","TYPE":"기타","TYPE_DTL":"미정","ITM_NM":"마데카메디패치스팟패피 51매","PRICE":"2300","UNIT":"1","":"2300","IMG":"마데카메디패치스팟패피 51매.jpg"},</v>
      </c>
    </row>
    <row r="60" spans="2:11" ht="14.4" customHeight="1">
      <c r="B60" s="64">
        <v>109</v>
      </c>
      <c r="C60" s="57" t="s">
        <v>12</v>
      </c>
      <c r="D60" s="58" t="s">
        <v>327</v>
      </c>
      <c r="E60" s="63" t="s">
        <v>225</v>
      </c>
      <c r="F60" s="60">
        <v>4990</v>
      </c>
      <c r="G60" s="61">
        <v>1</v>
      </c>
      <c r="H60" s="62">
        <f t="shared" si="0"/>
        <v>4990</v>
      </c>
      <c r="I60" s="63" t="str">
        <f t="shared" si="1"/>
        <v>맛나요 오튀.jpg</v>
      </c>
      <c r="J60" s="63"/>
      <c r="K60" s="53" t="str">
        <f t="shared" si="3"/>
        <v>{"ITM_SEQ":"109","TYPE":"식품","TYPE_DTL":"미정","ITM_NM":"맛나요 오튀","PRICE":"4990","UNIT":"1","":"4990","IMG":"맛나요 오튀.jpg"},</v>
      </c>
    </row>
    <row r="61" spans="2:11" ht="14.4" customHeight="1">
      <c r="B61" s="64">
        <v>110</v>
      </c>
      <c r="C61" s="57" t="s">
        <v>12</v>
      </c>
      <c r="D61" s="58" t="s">
        <v>327</v>
      </c>
      <c r="E61" s="63" t="s">
        <v>317</v>
      </c>
      <c r="F61" s="60">
        <v>710</v>
      </c>
      <c r="G61" s="61">
        <v>1</v>
      </c>
      <c r="H61" s="62">
        <f t="shared" si="0"/>
        <v>710</v>
      </c>
      <c r="I61" s="63" t="str">
        <f t="shared" si="1"/>
        <v>맛다시.jpg</v>
      </c>
      <c r="J61" s="63"/>
      <c r="K61" s="53" t="str">
        <f t="shared" si="3"/>
        <v>{"ITM_SEQ":"110","TYPE":"식품","TYPE_DTL":"미정","ITM_NM":"맛다시","PRICE":"710","UNIT":"1","":"710","IMG":"맛다시.jpg"},</v>
      </c>
    </row>
    <row r="62" spans="2:11" ht="14.4" customHeight="1">
      <c r="B62" s="64">
        <v>21</v>
      </c>
      <c r="C62" s="57" t="s">
        <v>12</v>
      </c>
      <c r="D62" s="57" t="s">
        <v>15</v>
      </c>
      <c r="E62" s="63" t="s">
        <v>182</v>
      </c>
      <c r="F62" s="60">
        <v>850</v>
      </c>
      <c r="G62" s="61">
        <v>24</v>
      </c>
      <c r="H62" s="62">
        <f t="shared" si="0"/>
        <v>20400</v>
      </c>
      <c r="I62" s="63" t="str">
        <f t="shared" si="1"/>
        <v>맛있는 오뚜기밥 210g.jpg</v>
      </c>
      <c r="J62" s="63"/>
      <c r="K62" s="53" t="str">
        <f t="shared" si="3"/>
        <v>{"ITM_SEQ":"21","TYPE":"식품","TYPE_DTL":"즉석밥","ITM_NM":"맛있는 오뚜기밥 210g","PRICE":"850","UNIT":"24","":"20400","IMG":"맛있는 오뚜기밥 210g.jpg"},</v>
      </c>
    </row>
    <row r="63" spans="2:11" ht="14.4" customHeight="1">
      <c r="B63" s="64">
        <v>31</v>
      </c>
      <c r="C63" s="57" t="s">
        <v>12</v>
      </c>
      <c r="D63" s="57" t="s">
        <v>27</v>
      </c>
      <c r="E63" s="63" t="s">
        <v>98</v>
      </c>
      <c r="F63" s="60">
        <v>36960</v>
      </c>
      <c r="G63" s="61">
        <v>1</v>
      </c>
      <c r="H63" s="62">
        <f t="shared" si="0"/>
        <v>36960</v>
      </c>
      <c r="I63" s="63" t="str">
        <f t="shared" si="1"/>
        <v>맥스빌더.jpg</v>
      </c>
      <c r="J63" s="63"/>
      <c r="K63" s="53" t="str">
        <f t="shared" si="3"/>
        <v>{"ITM_SEQ":"31","TYPE":"식품","TYPE_DTL":"영양제","ITM_NM":"맥스빌더","PRICE":"36960","UNIT":"1","":"36960","IMG":"맥스빌더.jpg"},</v>
      </c>
    </row>
    <row r="64" spans="2:11" ht="14.4" customHeight="1">
      <c r="B64" s="64">
        <v>207</v>
      </c>
      <c r="C64" s="57" t="s">
        <v>6</v>
      </c>
      <c r="D64" s="58" t="s">
        <v>327</v>
      </c>
      <c r="E64" s="63" t="s">
        <v>226</v>
      </c>
      <c r="F64" s="60">
        <v>2370</v>
      </c>
      <c r="G64" s="61">
        <v>1</v>
      </c>
      <c r="H64" s="62">
        <f t="shared" si="0"/>
        <v>2370</v>
      </c>
      <c r="I64" s="63" t="str">
        <f t="shared" si="1"/>
        <v>메디안 미백과학 치약 플럼민트향.jpg</v>
      </c>
      <c r="J64" s="63"/>
      <c r="K64" s="53" t="str">
        <f t="shared" si="3"/>
        <v>{"ITM_SEQ":"207","TYPE":"기타","TYPE_DTL":"미정","ITM_NM":"메디안 미백과학 치약 플럼민트향","PRICE":"2370","UNIT":"1","":"2370","IMG":"메디안 미백과학 치약 플럼민트향.jpg"},</v>
      </c>
    </row>
    <row r="65" spans="2:11" ht="14.4" customHeight="1">
      <c r="B65" s="64">
        <v>208</v>
      </c>
      <c r="C65" s="57" t="s">
        <v>6</v>
      </c>
      <c r="D65" s="58" t="s">
        <v>327</v>
      </c>
      <c r="E65" s="63" t="s">
        <v>227</v>
      </c>
      <c r="F65" s="60">
        <v>2230</v>
      </c>
      <c r="G65" s="61">
        <v>1</v>
      </c>
      <c r="H65" s="62">
        <f t="shared" si="0"/>
        <v>2230</v>
      </c>
      <c r="I65" s="63" t="str">
        <f t="shared" si="1"/>
        <v>메디안덴탈IQ미백케어치약.jpg</v>
      </c>
      <c r="J65" s="63"/>
      <c r="K65" s="53" t="str">
        <f t="shared" si="3"/>
        <v>{"ITM_SEQ":"208","TYPE":"기타","TYPE_DTL":"미정","ITM_NM":"메디안덴탈IQ미백케어치약","PRICE":"2230","UNIT":"1","":"2230","IMG":"메디안덴탈IQ미백케어치약.jpg"},</v>
      </c>
    </row>
    <row r="66" spans="2:11" ht="14.4" customHeight="1">
      <c r="B66" s="64">
        <v>56</v>
      </c>
      <c r="C66" s="57" t="s">
        <v>18</v>
      </c>
      <c r="D66" s="57" t="s">
        <v>19</v>
      </c>
      <c r="E66" s="63" t="s">
        <v>228</v>
      </c>
      <c r="F66" s="60">
        <v>800</v>
      </c>
      <c r="G66" s="61">
        <v>10</v>
      </c>
      <c r="H66" s="62">
        <f t="shared" si="0"/>
        <v>8000</v>
      </c>
      <c r="I66" s="63" t="str">
        <f t="shared" si="1"/>
        <v>메디힐 WHP 미백수분 블랙마스크.jpg</v>
      </c>
      <c r="J66" s="63"/>
      <c r="K66" s="53" t="str">
        <f t="shared" si="3"/>
        <v>{"ITM_SEQ":"56","TYPE":"화장품","TYPE_DTL":"마스크팩","ITM_NM":"메디힐 WHP 미백수분 블랙마스크","PRICE":"800","UNIT":"10","":"8000","IMG":"메디힐 WHP 미백수분 블랙마스크.jpg"},</v>
      </c>
    </row>
    <row r="67" spans="2:11" ht="14.4" customHeight="1">
      <c r="B67" s="64">
        <v>39</v>
      </c>
      <c r="C67" s="57" t="s">
        <v>18</v>
      </c>
      <c r="D67" s="57" t="s">
        <v>19</v>
      </c>
      <c r="E67" s="63" t="s">
        <v>183</v>
      </c>
      <c r="F67" s="60">
        <v>700</v>
      </c>
      <c r="G67" s="61">
        <v>10</v>
      </c>
      <c r="H67" s="62">
        <f t="shared" si="0"/>
        <v>7000</v>
      </c>
      <c r="I67" s="63" t="str">
        <f t="shared" si="1"/>
        <v>메디힐 디엔에이 프로아틴 마스크.jpg</v>
      </c>
      <c r="J67" s="63"/>
      <c r="K67" s="53" t="str">
        <f t="shared" si="3"/>
        <v>{"ITM_SEQ":"39","TYPE":"화장품","TYPE_DTL":"마스크팩","ITM_NM":"메디힐 디엔에이 프로아틴 마스크","PRICE":"700","UNIT":"10","":"7000","IMG":"메디힐 디엔에이 프로아틴 마스크.jpg"},</v>
      </c>
    </row>
    <row r="68" spans="2:11" ht="14.4" customHeight="1">
      <c r="B68" s="64">
        <v>18</v>
      </c>
      <c r="C68" s="57" t="s">
        <v>12</v>
      </c>
      <c r="D68" s="57" t="s">
        <v>14</v>
      </c>
      <c r="E68" s="63" t="s">
        <v>184</v>
      </c>
      <c r="F68" s="60">
        <v>1420</v>
      </c>
      <c r="G68" s="61">
        <v>24</v>
      </c>
      <c r="H68" s="62">
        <f t="shared" ref="H68:H131" si="4">F68*G68</f>
        <v>34080</v>
      </c>
      <c r="I68" s="63" t="str">
        <f t="shared" ref="I68:I131" si="5">_xlfn.CONCAT(E68, ".jpg")</f>
        <v>몬스터에너지 울트라 355ml.jpg</v>
      </c>
      <c r="J68" s="63"/>
      <c r="K68" s="53" t="str">
        <f t="shared" si="3"/>
        <v>{"ITM_SEQ":"18","TYPE":"식품","TYPE_DTL":"음료","ITM_NM":"몬스터에너지 울트라 355ml","PRICE":"1420","UNIT":"24","":"34080","IMG":"몬스터에너지 울트라 355ml.jpg"},</v>
      </c>
    </row>
    <row r="69" spans="2:11" ht="14.4" customHeight="1">
      <c r="B69" s="64">
        <v>112</v>
      </c>
      <c r="C69" s="57" t="s">
        <v>12</v>
      </c>
      <c r="D69" s="58" t="s">
        <v>327</v>
      </c>
      <c r="E69" s="63" t="s">
        <v>229</v>
      </c>
      <c r="F69" s="60">
        <v>1100</v>
      </c>
      <c r="G69" s="61">
        <v>1</v>
      </c>
      <c r="H69" s="62">
        <f t="shared" si="4"/>
        <v>1100</v>
      </c>
      <c r="I69" s="63" t="str">
        <f t="shared" si="5"/>
        <v>몽쉘카카오케이크.jpg</v>
      </c>
      <c r="J69" s="63"/>
      <c r="K69" s="53" t="str">
        <f t="shared" si="3"/>
        <v>{"ITM_SEQ":"112","TYPE":"식품","TYPE_DTL":"미정","ITM_NM":"몽쉘카카오케이크","PRICE":"1100","UNIT":"1","":"1100","IMG":"몽쉘카카오케이크.jpg"},</v>
      </c>
    </row>
    <row r="70" spans="2:11" ht="14.4" customHeight="1">
      <c r="B70" s="64">
        <v>113</v>
      </c>
      <c r="C70" s="57" t="s">
        <v>12</v>
      </c>
      <c r="D70" s="58" t="s">
        <v>327</v>
      </c>
      <c r="E70" s="63" t="s">
        <v>230</v>
      </c>
      <c r="F70" s="60">
        <v>1830</v>
      </c>
      <c r="G70" s="61">
        <v>1</v>
      </c>
      <c r="H70" s="62">
        <f t="shared" si="4"/>
        <v>1830</v>
      </c>
      <c r="I70" s="63" t="str">
        <f t="shared" si="5"/>
        <v>미림.jpg</v>
      </c>
      <c r="J70" s="63"/>
      <c r="K70" s="53" t="str">
        <f t="shared" si="3"/>
        <v>{"ITM_SEQ":"113","TYPE":"식품","TYPE_DTL":"미정","ITM_NM":"미림","PRICE":"1830","UNIT":"1","":"1830","IMG":"미림.jpg"},</v>
      </c>
    </row>
    <row r="71" spans="2:11" ht="14.4" customHeight="1">
      <c r="B71" s="64">
        <v>210</v>
      </c>
      <c r="C71" s="57" t="s">
        <v>6</v>
      </c>
      <c r="D71" s="58" t="s">
        <v>327</v>
      </c>
      <c r="E71" s="63" t="s">
        <v>231</v>
      </c>
      <c r="F71" s="60">
        <v>1520</v>
      </c>
      <c r="G71" s="61">
        <v>1</v>
      </c>
      <c r="H71" s="62">
        <f t="shared" si="4"/>
        <v>1520</v>
      </c>
      <c r="I71" s="63" t="str">
        <f t="shared" si="5"/>
        <v>미샤 오일컨트롤페이퍼.jpg</v>
      </c>
      <c r="J71" s="63"/>
      <c r="K71" s="53" t="str">
        <f t="shared" si="3"/>
        <v>{"ITM_SEQ":"210","TYPE":"기타","TYPE_DTL":"미정","ITM_NM":"미샤 오일컨트롤페이퍼","PRICE":"1520","UNIT":"1","":"1520","IMG":"미샤 오일컨트롤페이퍼.jpg"},</v>
      </c>
    </row>
    <row r="72" spans="2:11" ht="14.4" customHeight="1">
      <c r="B72" s="64">
        <v>114</v>
      </c>
      <c r="C72" s="57" t="s">
        <v>12</v>
      </c>
      <c r="D72" s="58" t="s">
        <v>327</v>
      </c>
      <c r="E72" s="63" t="s">
        <v>232</v>
      </c>
      <c r="F72" s="60">
        <v>400</v>
      </c>
      <c r="G72" s="61">
        <v>30</v>
      </c>
      <c r="H72" s="62">
        <f t="shared" si="4"/>
        <v>12000</v>
      </c>
      <c r="I72" s="63" t="str">
        <f t="shared" si="5"/>
        <v>밀키스제로.jpg</v>
      </c>
      <c r="J72" s="63"/>
      <c r="K72" s="53" t="str">
        <f t="shared" si="3"/>
        <v>{"ITM_SEQ":"114","TYPE":"식품","TYPE_DTL":"미정","ITM_NM":"밀키스제로","PRICE":"400","UNIT":"30","":"12000","IMG":"밀키스제로.jpg"},</v>
      </c>
    </row>
    <row r="73" spans="2:11" ht="14.4" customHeight="1">
      <c r="B73" s="64">
        <v>53</v>
      </c>
      <c r="C73" s="57" t="s">
        <v>18</v>
      </c>
      <c r="D73" s="58" t="s">
        <v>325</v>
      </c>
      <c r="E73" s="68" t="s">
        <v>361</v>
      </c>
      <c r="F73" s="60">
        <v>5000</v>
      </c>
      <c r="G73" s="61">
        <v>1</v>
      </c>
      <c r="H73" s="62">
        <f t="shared" si="4"/>
        <v>5000</v>
      </c>
      <c r="I73" s="63" t="str">
        <f t="shared" si="5"/>
        <v>바세린 리프팅 리페어 로션 450ml.jpg</v>
      </c>
      <c r="J73" s="63"/>
      <c r="K73" s="53" t="str">
        <f t="shared" si="3"/>
        <v>{"ITM_SEQ":"53","TYPE":"화장품","TYPE_DTL":"로션","ITM_NM":"바세린 리프팅 리페어 로션 450ml","PRICE":"5000","UNIT":"1","":"5000","IMG":"바세린 리프팅 리페어 로션 450ml.jpg"},</v>
      </c>
    </row>
    <row r="74" spans="2:11" ht="14.4" customHeight="1">
      <c r="B74" s="64">
        <v>115</v>
      </c>
      <c r="C74" s="57" t="s">
        <v>12</v>
      </c>
      <c r="D74" s="58" t="s">
        <v>327</v>
      </c>
      <c r="E74" s="63" t="s">
        <v>233</v>
      </c>
      <c r="F74" s="60">
        <v>4640</v>
      </c>
      <c r="G74" s="61">
        <v>1</v>
      </c>
      <c r="H74" s="62">
        <f t="shared" si="4"/>
        <v>4640</v>
      </c>
      <c r="I74" s="63" t="str">
        <f t="shared" si="5"/>
        <v>바싹한 미니버터 크룽지.jpg</v>
      </c>
      <c r="J74" s="63"/>
      <c r="K74" s="53" t="str">
        <f t="shared" si="3"/>
        <v>{"ITM_SEQ":"115","TYPE":"식품","TYPE_DTL":"미정","ITM_NM":"바싹한 미니버터 크룽지","PRICE":"4640","UNIT":"1","":"4640","IMG":"바싹한 미니버터 크룽지.jpg"},</v>
      </c>
    </row>
    <row r="75" spans="2:11" ht="14.4" customHeight="1">
      <c r="B75" s="64">
        <v>116</v>
      </c>
      <c r="C75" s="57" t="s">
        <v>12</v>
      </c>
      <c r="D75" s="58" t="s">
        <v>327</v>
      </c>
      <c r="E75" s="63" t="s">
        <v>234</v>
      </c>
      <c r="F75" s="60">
        <v>500</v>
      </c>
      <c r="G75" s="61">
        <v>10</v>
      </c>
      <c r="H75" s="62">
        <f t="shared" si="4"/>
        <v>5000</v>
      </c>
      <c r="I75" s="63" t="str">
        <f t="shared" si="5"/>
        <v>박카스.jpg</v>
      </c>
      <c r="J75" s="63"/>
      <c r="K75" s="53" t="str">
        <f t="shared" si="3"/>
        <v>{"ITM_SEQ":"116","TYPE":"식품","TYPE_DTL":"미정","ITM_NM":"박카스","PRICE":"500","UNIT":"10","":"5000","IMG":"박카스.jpg"},</v>
      </c>
    </row>
    <row r="76" spans="2:11" ht="14.4" customHeight="1">
      <c r="B76" s="64">
        <v>28</v>
      </c>
      <c r="C76" s="57" t="s">
        <v>12</v>
      </c>
      <c r="D76" s="57" t="s">
        <v>17</v>
      </c>
      <c r="E76" s="63" t="s">
        <v>185</v>
      </c>
      <c r="F76" s="60">
        <v>570</v>
      </c>
      <c r="G76" s="61">
        <v>8</v>
      </c>
      <c r="H76" s="62">
        <f t="shared" si="4"/>
        <v>4560</v>
      </c>
      <c r="I76" s="63" t="str">
        <f t="shared" si="5"/>
        <v>박카스맛젤리.jpg</v>
      </c>
      <c r="J76" s="63"/>
      <c r="K76" s="53" t="str">
        <f t="shared" si="3"/>
        <v>{"ITM_SEQ":"28","TYPE":"식품","TYPE_DTL":"캔디","ITM_NM":"박카스맛젤리","PRICE":"570","UNIT":"8","":"4560","IMG":"박카스맛젤리.jpg"},</v>
      </c>
    </row>
    <row r="77" spans="2:11" ht="14.4" customHeight="1">
      <c r="B77" s="64">
        <v>141</v>
      </c>
      <c r="C77" s="57" t="s">
        <v>12</v>
      </c>
      <c r="D77" s="58" t="s">
        <v>327</v>
      </c>
      <c r="E77" s="63" t="s">
        <v>235</v>
      </c>
      <c r="F77" s="60">
        <v>3950</v>
      </c>
      <c r="G77" s="61">
        <v>1</v>
      </c>
      <c r="H77" s="62">
        <f t="shared" si="4"/>
        <v>3950</v>
      </c>
      <c r="I77" s="63" t="str">
        <f t="shared" si="5"/>
        <v>백설 자일로스 설탈.jpg</v>
      </c>
      <c r="J77" s="63"/>
      <c r="K77" s="53" t="str">
        <f t="shared" si="3"/>
        <v>{"ITM_SEQ":"141","TYPE":"식품","TYPE_DTL":"미정","ITM_NM":"백설 자일로스 설탈","PRICE":"3950","UNIT":"1","":"3950","IMG":"백설 자일로스 설탈.jpg"},</v>
      </c>
    </row>
    <row r="78" spans="2:11" ht="14.4" customHeight="1">
      <c r="B78" s="64">
        <v>142</v>
      </c>
      <c r="C78" s="57" t="s">
        <v>12</v>
      </c>
      <c r="D78" s="58" t="s">
        <v>327</v>
      </c>
      <c r="E78" s="63" t="s">
        <v>236</v>
      </c>
      <c r="F78" s="60">
        <v>1800</v>
      </c>
      <c r="G78" s="61">
        <v>1</v>
      </c>
      <c r="H78" s="62">
        <f t="shared" si="4"/>
        <v>1800</v>
      </c>
      <c r="I78" s="63" t="str">
        <f t="shared" si="5"/>
        <v>백설 찍어먹는 트러플 솔트.jpg</v>
      </c>
      <c r="J78" s="63"/>
      <c r="K78" s="53" t="str">
        <f t="shared" si="3"/>
        <v>{"ITM_SEQ":"142","TYPE":"식품","TYPE_DTL":"미정","ITM_NM":"백설 찍어먹는 트러플 솔트","PRICE":"1800","UNIT":"1","":"1800","IMG":"백설 찍어먹는 트러플 솔트.jpg"},</v>
      </c>
    </row>
    <row r="79" spans="2:11" ht="14.4" customHeight="1">
      <c r="B79" s="64">
        <v>211</v>
      </c>
      <c r="C79" s="57" t="s">
        <v>6</v>
      </c>
      <c r="D79" s="58" t="s">
        <v>327</v>
      </c>
      <c r="E79" s="63" t="s">
        <v>237</v>
      </c>
      <c r="F79" s="60">
        <v>12980</v>
      </c>
      <c r="G79" s="61">
        <v>1</v>
      </c>
      <c r="H79" s="62">
        <f t="shared" si="4"/>
        <v>12980</v>
      </c>
      <c r="I79" s="63" t="str">
        <f t="shared" si="5"/>
        <v>뱅네프 생토노레 사봉파퓨메 177(비누).jpg</v>
      </c>
      <c r="J79" s="63"/>
      <c r="K79" s="53" t="str">
        <f t="shared" si="3"/>
        <v>{"ITM_SEQ":"211","TYPE":"기타","TYPE_DTL":"미정","ITM_NM":"뱅네프 생토노레 사봉파퓨메 177(비누)","PRICE":"12980","UNIT":"1","":"12980","IMG":"뱅네프 생토노레 사봉파퓨메 177(비누).jpg"},</v>
      </c>
    </row>
    <row r="80" spans="2:11" ht="14.4" customHeight="1">
      <c r="B80" s="64">
        <v>212</v>
      </c>
      <c r="C80" s="57" t="s">
        <v>6</v>
      </c>
      <c r="D80" s="58" t="s">
        <v>327</v>
      </c>
      <c r="E80" s="63" t="s">
        <v>238</v>
      </c>
      <c r="F80" s="60">
        <v>1350</v>
      </c>
      <c r="G80" s="61">
        <v>1</v>
      </c>
      <c r="H80" s="62">
        <f t="shared" si="4"/>
        <v>1350</v>
      </c>
      <c r="I80" s="63" t="str">
        <f t="shared" si="5"/>
        <v>벡셀 알카라인건전지 aaa 4입.jpg</v>
      </c>
      <c r="J80" s="63"/>
      <c r="K80" s="53" t="str">
        <f t="shared" si="3"/>
        <v>{"ITM_SEQ":"212","TYPE":"기타","TYPE_DTL":"미정","ITM_NM":"벡셀 알카라인건전지 aaa 4입","PRICE":"1350","UNIT":"1","":"1350","IMG":"벡셀 알카라인건전지 aaa 4입.jpg"},</v>
      </c>
    </row>
    <row r="81" spans="2:11" ht="14.4" customHeight="1">
      <c r="B81" s="64">
        <v>213</v>
      </c>
      <c r="C81" s="57" t="s">
        <v>6</v>
      </c>
      <c r="D81" s="58" t="s">
        <v>327</v>
      </c>
      <c r="E81" s="63" t="s">
        <v>239</v>
      </c>
      <c r="F81" s="60">
        <v>770</v>
      </c>
      <c r="G81" s="61">
        <v>1</v>
      </c>
      <c r="H81" s="62">
        <f t="shared" si="4"/>
        <v>770</v>
      </c>
      <c r="I81" s="63" t="str">
        <f t="shared" si="5"/>
        <v>벡셀알카라인건전지 aa 2입.jpg</v>
      </c>
      <c r="J81" s="63"/>
      <c r="K81" s="53" t="str">
        <f t="shared" si="3"/>
        <v>{"ITM_SEQ":"213","TYPE":"기타","TYPE_DTL":"미정","ITM_NM":"벡셀알카라인건전지 aa 2입","PRICE":"770","UNIT":"1","":"770","IMG":"벡셀알카라인건전지 aa 2입.jpg"},</v>
      </c>
    </row>
    <row r="82" spans="2:11" ht="14.4" customHeight="1">
      <c r="B82" s="64">
        <v>143</v>
      </c>
      <c r="C82" s="57" t="s">
        <v>12</v>
      </c>
      <c r="D82" s="58" t="s">
        <v>327</v>
      </c>
      <c r="E82" s="63" t="s">
        <v>240</v>
      </c>
      <c r="F82" s="60">
        <v>4350</v>
      </c>
      <c r="G82" s="61">
        <v>1</v>
      </c>
      <c r="H82" s="62">
        <f t="shared" si="4"/>
        <v>4350</v>
      </c>
      <c r="I82" s="63" t="str">
        <f t="shared" si="5"/>
        <v>봉편촌메밀국수2호.jpg</v>
      </c>
      <c r="J82" s="63"/>
      <c r="K82" s="53" t="str">
        <f t="shared" si="3"/>
        <v>{"ITM_SEQ":"143","TYPE":"식품","TYPE_DTL":"미정","ITM_NM":"봉편촌메밀국수2호","PRICE":"4350","UNIT":"1","":"4350","IMG":"봉편촌메밀국수2호.jpg"},</v>
      </c>
    </row>
    <row r="83" spans="2:11" ht="14.4" customHeight="1">
      <c r="B83" s="64">
        <v>59</v>
      </c>
      <c r="C83" s="70" t="s">
        <v>216</v>
      </c>
      <c r="D83" s="58" t="s">
        <v>327</v>
      </c>
      <c r="E83" s="63" t="s">
        <v>241</v>
      </c>
      <c r="F83" s="60">
        <v>4780</v>
      </c>
      <c r="G83" s="61">
        <v>1</v>
      </c>
      <c r="H83" s="62">
        <f t="shared" si="4"/>
        <v>4780</v>
      </c>
      <c r="I83" s="63" t="str">
        <f t="shared" si="5"/>
        <v>부케가르니 나드 샴푸 시그니처.jpg</v>
      </c>
      <c r="J83" s="63"/>
      <c r="K83" s="53" t="str">
        <f t="shared" si="3"/>
        <v>{"ITM_SEQ":"59","TYPE":"기타","TYPE_DTL":"미정","ITM_NM":"부케가르니 나드 샴푸 시그니처","PRICE":"4780","UNIT":"1","":"4780","IMG":"부케가르니 나드 샴푸 시그니처.jpg"},</v>
      </c>
    </row>
    <row r="84" spans="2:11" ht="14.4" customHeight="1">
      <c r="B84" s="64">
        <v>214</v>
      </c>
      <c r="C84" s="57" t="s">
        <v>6</v>
      </c>
      <c r="D84" s="58" t="s">
        <v>327</v>
      </c>
      <c r="E84" s="63" t="s">
        <v>242</v>
      </c>
      <c r="F84" s="60">
        <v>11450</v>
      </c>
      <c r="G84" s="61">
        <v>1</v>
      </c>
      <c r="H84" s="62">
        <f t="shared" si="4"/>
        <v>11450</v>
      </c>
      <c r="I84" s="63" t="str">
        <f t="shared" si="5"/>
        <v>불스원 그라스 디퓨저 코튼향(차량방향제).jpg</v>
      </c>
      <c r="J84" s="63"/>
      <c r="K84" s="53" t="str">
        <f t="shared" si="3"/>
        <v>{"ITM_SEQ":"214","TYPE":"기타","TYPE_DTL":"미정","ITM_NM":"불스원 그라스 디퓨저 코튼향(차량방향제)","PRICE":"11450","UNIT":"1","":"11450","IMG":"불스원 그라스 디퓨저 코튼향(차량방향제).jpg"},</v>
      </c>
    </row>
    <row r="85" spans="2:11" ht="14.4" customHeight="1">
      <c r="B85" s="64">
        <v>215</v>
      </c>
      <c r="C85" s="57" t="s">
        <v>6</v>
      </c>
      <c r="D85" s="58" t="s">
        <v>327</v>
      </c>
      <c r="E85" s="63" t="s">
        <v>243</v>
      </c>
      <c r="F85" s="60">
        <v>11900</v>
      </c>
      <c r="G85" s="61">
        <v>1</v>
      </c>
      <c r="H85" s="62">
        <f t="shared" si="4"/>
        <v>11900</v>
      </c>
      <c r="I85" s="63" t="str">
        <f t="shared" si="5"/>
        <v>뷰카 클래식 구취케어 치약 아쿠아.jpg</v>
      </c>
      <c r="J85" s="63"/>
      <c r="K85" s="53" t="str">
        <f t="shared" si="3"/>
        <v>{"ITM_SEQ":"215","TYPE":"기타","TYPE_DTL":"미정","ITM_NM":"뷰카 클래식 구취케어 치약 아쿠아","PRICE":"11900","UNIT":"1","":"11900","IMG":"뷰카 클래식 구취케어 치약 아쿠아.jpg"},</v>
      </c>
    </row>
    <row r="86" spans="2:11" ht="14.4" customHeight="1">
      <c r="B86" s="64">
        <v>144</v>
      </c>
      <c r="C86" s="57" t="s">
        <v>12</v>
      </c>
      <c r="D86" s="58" t="s">
        <v>327</v>
      </c>
      <c r="E86" s="63" t="s">
        <v>244</v>
      </c>
      <c r="F86" s="60">
        <v>1100</v>
      </c>
      <c r="G86" s="61">
        <v>1</v>
      </c>
      <c r="H86" s="62">
        <f t="shared" si="4"/>
        <v>1100</v>
      </c>
      <c r="I86" s="63" t="str">
        <f t="shared" si="5"/>
        <v>비비고 오리지널 김스낵.jpg</v>
      </c>
      <c r="J86" s="63"/>
      <c r="K86" s="53" t="str">
        <f t="shared" si="3"/>
        <v>{"ITM_SEQ":"144","TYPE":"식품","TYPE_DTL":"미정","ITM_NM":"비비고 오리지널 김스낵","PRICE":"1100","UNIT":"1","":"1100","IMG":"비비고 오리지널 김스낵.jpg"},</v>
      </c>
    </row>
    <row r="87" spans="2:11" ht="14.4" customHeight="1">
      <c r="B87" s="64">
        <v>60</v>
      </c>
      <c r="C87" s="57" t="s">
        <v>18</v>
      </c>
      <c r="D87" s="58" t="s">
        <v>327</v>
      </c>
      <c r="E87" s="68" t="s">
        <v>362</v>
      </c>
      <c r="F87" s="60">
        <v>6910</v>
      </c>
      <c r="G87" s="61">
        <v>1</v>
      </c>
      <c r="H87" s="62">
        <f t="shared" si="4"/>
        <v>6910</v>
      </c>
      <c r="I87" s="63" t="str">
        <f t="shared" si="5"/>
        <v>비알티씨 파워 옴므 올인원 솔루션 기획세트 200ML+50ML.jpg</v>
      </c>
      <c r="J87" s="63"/>
      <c r="K87" s="53" t="str">
        <f t="shared" si="3"/>
        <v>{"ITM_SEQ":"60","TYPE":"화장품","TYPE_DTL":"미정","ITM_NM":"비알티씨 파워 옴므 올인원 솔루션 기획세트 200ML+50ML","PRICE":"6910","UNIT":"1","":"6910","IMG":"비알티씨 파워 옴므 올인원 솔루션 기획세트 200ML+50ML.jpg"},</v>
      </c>
    </row>
    <row r="88" spans="2:11" ht="14.4" customHeight="1">
      <c r="B88" s="64">
        <v>61</v>
      </c>
      <c r="C88" s="57" t="s">
        <v>18</v>
      </c>
      <c r="D88" s="58" t="s">
        <v>327</v>
      </c>
      <c r="E88" s="68" t="s">
        <v>363</v>
      </c>
      <c r="F88" s="60">
        <v>7150</v>
      </c>
      <c r="G88" s="61">
        <v>1</v>
      </c>
      <c r="H88" s="62">
        <f t="shared" si="4"/>
        <v>7150</v>
      </c>
      <c r="I88" s="63" t="str">
        <f t="shared" si="5"/>
        <v>비욘드 바디 디펜스 샤워 450ml.jpg</v>
      </c>
      <c r="J88" s="63"/>
      <c r="K88" s="53" t="str">
        <f t="shared" si="3"/>
        <v>{"ITM_SEQ":"61","TYPE":"화장품","TYPE_DTL":"미정","ITM_NM":"비욘드 바디 디펜스 샤워 450ml","PRICE":"7150","UNIT":"1","":"7150","IMG":"비욘드 바디 디펜스 샤워 450ml.jpg"},</v>
      </c>
    </row>
    <row r="89" spans="2:11" ht="14.4" customHeight="1">
      <c r="B89" s="64">
        <v>62</v>
      </c>
      <c r="C89" s="57" t="s">
        <v>18</v>
      </c>
      <c r="D89" s="58" t="s">
        <v>327</v>
      </c>
      <c r="E89" s="68" t="s">
        <v>364</v>
      </c>
      <c r="F89" s="60">
        <v>10890</v>
      </c>
      <c r="G89" s="61">
        <v>1</v>
      </c>
      <c r="H89" s="62">
        <f t="shared" si="4"/>
        <v>10890</v>
      </c>
      <c r="I89" s="63" t="str">
        <f t="shared" si="5"/>
        <v>비욘드 바디 디펜스 에멀전 450ml.jpg</v>
      </c>
      <c r="J89" s="63"/>
      <c r="K89" s="53" t="str">
        <f t="shared" si="3"/>
        <v>{"ITM_SEQ":"62","TYPE":"화장품","TYPE_DTL":"미정","ITM_NM":"비욘드 바디 디펜스 에멀전 450ml","PRICE":"10890","UNIT":"1","":"10890","IMG":"비욘드 바디 디펜스 에멀전 450ml.jpg"},</v>
      </c>
    </row>
    <row r="90" spans="2:11" ht="14.4" customHeight="1">
      <c r="B90" s="64">
        <v>63</v>
      </c>
      <c r="C90" s="57" t="s">
        <v>18</v>
      </c>
      <c r="D90" s="58" t="s">
        <v>327</v>
      </c>
      <c r="E90" s="68" t="s">
        <v>365</v>
      </c>
      <c r="F90" s="60">
        <v>6460</v>
      </c>
      <c r="G90" s="61">
        <v>1</v>
      </c>
      <c r="H90" s="62">
        <f t="shared" si="4"/>
        <v>6460</v>
      </c>
      <c r="I90" s="63" t="str">
        <f t="shared" si="5"/>
        <v>비원즈 피토 콜라겐 아이세럼스틱 15ml.jpg</v>
      </c>
      <c r="J90" s="63"/>
      <c r="K90" s="53" t="str">
        <f t="shared" si="3"/>
        <v>{"ITM_SEQ":"63","TYPE":"화장품","TYPE_DTL":"미정","ITM_NM":"비원즈 피토 콜라겐 아이세럼스틱 15ml","PRICE":"6460","UNIT":"1","":"6460","IMG":"비원즈 피토 콜라겐 아이세럼스틱 15ml.jpg"},</v>
      </c>
    </row>
    <row r="91" spans="2:11" ht="14.4" customHeight="1">
      <c r="B91" s="64">
        <v>6</v>
      </c>
      <c r="C91" s="57" t="s">
        <v>6</v>
      </c>
      <c r="D91" s="57" t="s">
        <v>71</v>
      </c>
      <c r="E91" s="63" t="s">
        <v>186</v>
      </c>
      <c r="F91" s="60">
        <v>25280</v>
      </c>
      <c r="G91" s="61">
        <v>1</v>
      </c>
      <c r="H91" s="62">
        <f t="shared" si="4"/>
        <v>25280</v>
      </c>
      <c r="I91" s="63" t="str">
        <f t="shared" si="5"/>
        <v>비트 마사지 건 HMS-12.jpg</v>
      </c>
      <c r="J91" s="63"/>
      <c r="K91" s="53" t="str">
        <f t="shared" si="3"/>
        <v>{"ITM_SEQ":"6","TYPE":"기타","TYPE_DTL":"안마기","ITM_NM":"비트 마사지 건 HMS-12","PRICE":"25280","UNIT":"1","":"25280","IMG":"비트 마사지 건 HMS-12.jpg"},</v>
      </c>
    </row>
    <row r="92" spans="2:11" ht="14.4" customHeight="1">
      <c r="B92" s="64">
        <v>216</v>
      </c>
      <c r="C92" s="57" t="s">
        <v>6</v>
      </c>
      <c r="D92" s="58" t="s">
        <v>327</v>
      </c>
      <c r="E92" s="63" t="s">
        <v>245</v>
      </c>
      <c r="F92" s="60">
        <v>5070</v>
      </c>
      <c r="G92" s="61">
        <v>1</v>
      </c>
      <c r="H92" s="62">
        <f t="shared" si="4"/>
        <v>5070</v>
      </c>
      <c r="I92" s="63" t="str">
        <f t="shared" si="5"/>
        <v>비트 트리플액션 2.8L(일반).jpg</v>
      </c>
      <c r="J92" s="63"/>
      <c r="K92" s="53" t="str">
        <f t="shared" si="3"/>
        <v>{"ITM_SEQ":"216","TYPE":"기타","TYPE_DTL":"미정","ITM_NM":"비트 트리플액션 2.8L(일반)","PRICE":"5070","UNIT":"1","":"5070","IMG":"비트 트리플액션 2.8L(일반).jpg"},</v>
      </c>
    </row>
    <row r="93" spans="2:11" ht="14.4" customHeight="1">
      <c r="B93" s="64">
        <v>145</v>
      </c>
      <c r="C93" s="57" t="s">
        <v>12</v>
      </c>
      <c r="D93" s="58" t="s">
        <v>327</v>
      </c>
      <c r="E93" s="63" t="s">
        <v>246</v>
      </c>
      <c r="F93" s="60">
        <v>1350</v>
      </c>
      <c r="G93" s="61">
        <v>1</v>
      </c>
      <c r="H93" s="62">
        <f t="shared" si="4"/>
        <v>1350</v>
      </c>
      <c r="I93" s="63" t="str">
        <f t="shared" si="5"/>
        <v>빅파이딸기(중).jpg</v>
      </c>
      <c r="J93" s="63"/>
      <c r="K93" s="53" t="str">
        <f t="shared" si="3"/>
        <v>{"ITM_SEQ":"145","TYPE":"식품","TYPE_DTL":"미정","ITM_NM":"빅파이딸기(중)","PRICE":"1350","UNIT":"1","":"1350","IMG":"빅파이딸기(중).jpg"},</v>
      </c>
    </row>
    <row r="94" spans="2:11" ht="14.4" customHeight="1">
      <c r="B94" s="64">
        <v>146</v>
      </c>
      <c r="C94" s="57" t="s">
        <v>12</v>
      </c>
      <c r="D94" s="58" t="s">
        <v>327</v>
      </c>
      <c r="E94" s="63" t="s">
        <v>247</v>
      </c>
      <c r="F94" s="60">
        <v>1810</v>
      </c>
      <c r="G94" s="61">
        <v>1</v>
      </c>
      <c r="H94" s="62">
        <f t="shared" si="4"/>
        <v>1810</v>
      </c>
      <c r="I94" s="63" t="str">
        <f t="shared" si="5"/>
        <v>빈츠초콜릿.jpg</v>
      </c>
      <c r="J94" s="63"/>
      <c r="K94" s="53" t="str">
        <f t="shared" si="3"/>
        <v>{"ITM_SEQ":"146","TYPE":"식품","TYPE_DTL":"미정","ITM_NM":"빈츠초콜릿","PRICE":"1810","UNIT":"1","":"1810","IMG":"빈츠초콜릿.jpg"},</v>
      </c>
    </row>
    <row r="95" spans="2:11" ht="14.4" customHeight="1">
      <c r="B95" s="64">
        <v>147</v>
      </c>
      <c r="C95" s="57" t="s">
        <v>12</v>
      </c>
      <c r="D95" s="58" t="s">
        <v>327</v>
      </c>
      <c r="E95" s="63" t="s">
        <v>248</v>
      </c>
      <c r="F95" s="60">
        <v>780</v>
      </c>
      <c r="G95" s="61">
        <v>10</v>
      </c>
      <c r="H95" s="62">
        <f t="shared" si="4"/>
        <v>7800</v>
      </c>
      <c r="I95" s="63" t="str">
        <f t="shared" si="5"/>
        <v>빼빼로.jpg</v>
      </c>
      <c r="J95" s="63"/>
      <c r="K95" s="53" t="str">
        <f t="shared" si="3"/>
        <v>{"ITM_SEQ":"147","TYPE":"식품","TYPE_DTL":"미정","ITM_NM":"빼빼로","PRICE":"780","UNIT":"10","":"7800","IMG":"빼빼로.jpg"},</v>
      </c>
    </row>
    <row r="96" spans="2:11" ht="14.4" customHeight="1">
      <c r="B96" s="64">
        <v>217</v>
      </c>
      <c r="C96" s="57" t="s">
        <v>6</v>
      </c>
      <c r="D96" s="58" t="s">
        <v>327</v>
      </c>
      <c r="E96" s="63" t="s">
        <v>249</v>
      </c>
      <c r="F96" s="60">
        <v>2250</v>
      </c>
      <c r="G96" s="61">
        <v>1</v>
      </c>
      <c r="H96" s="62">
        <f t="shared" si="4"/>
        <v>2250</v>
      </c>
      <c r="I96" s="63" t="str">
        <f t="shared" si="5"/>
        <v>생활도감 혀클리너(화이트).jpg</v>
      </c>
      <c r="J96" s="63"/>
      <c r="K96" s="53" t="str">
        <f t="shared" si="3"/>
        <v>{"ITM_SEQ":"217","TYPE":"기타","TYPE_DTL":"미정","ITM_NM":"생활도감 혀클리너(화이트)","PRICE":"2250","UNIT":"1","":"2250","IMG":"생활도감 혀클리너(화이트).jpg"},</v>
      </c>
    </row>
    <row r="97" spans="2:11" ht="14.4" customHeight="1">
      <c r="B97" s="64">
        <v>64</v>
      </c>
      <c r="C97" s="57" t="s">
        <v>18</v>
      </c>
      <c r="D97" s="58" t="s">
        <v>327</v>
      </c>
      <c r="E97" s="63" t="s">
        <v>250</v>
      </c>
      <c r="F97" s="60">
        <v>4900</v>
      </c>
      <c r="G97" s="61">
        <v>1</v>
      </c>
      <c r="H97" s="62">
        <f t="shared" si="4"/>
        <v>4900</v>
      </c>
      <c r="I97" s="63" t="str">
        <f t="shared" si="5"/>
        <v>센카 퍼팩트 휩 페이셜 워시.jpg</v>
      </c>
      <c r="J97" s="63"/>
      <c r="K97" s="53" t="str">
        <f t="shared" si="3"/>
        <v>{"ITM_SEQ":"64","TYPE":"화장품","TYPE_DTL":"미정","ITM_NM":"센카 퍼팩트 휩 페이셜 워시","PRICE":"4900","UNIT":"1","":"4900","IMG":"센카 퍼팩트 휩 페이셜 워시.jpg"},</v>
      </c>
    </row>
    <row r="98" spans="2:11" ht="14.4" customHeight="1">
      <c r="B98" s="64">
        <v>65</v>
      </c>
      <c r="C98" s="57" t="s">
        <v>18</v>
      </c>
      <c r="D98" s="58" t="s">
        <v>327</v>
      </c>
      <c r="E98" s="63" t="s">
        <v>251</v>
      </c>
      <c r="F98" s="60">
        <v>10000</v>
      </c>
      <c r="G98" s="61">
        <v>1</v>
      </c>
      <c r="H98" s="62">
        <f t="shared" si="4"/>
        <v>10000</v>
      </c>
      <c r="I98" s="63" t="str">
        <f t="shared" si="5"/>
        <v>센텔리안 24 마데카 베리어 바디로션.jpg</v>
      </c>
      <c r="J98" s="63"/>
      <c r="K98" s="53" t="str">
        <f t="shared" si="3"/>
        <v>{"ITM_SEQ":"65","TYPE":"화장품","TYPE_DTL":"미정","ITM_NM":"센텔리안 24 마데카 베리어 바디로션","PRICE":"10000","UNIT":"1","":"10000","IMG":"센텔리안 24 마데카 베리어 바디로션.jpg"},</v>
      </c>
    </row>
    <row r="99" spans="2:11" ht="14.4" customHeight="1">
      <c r="B99" s="64">
        <v>66</v>
      </c>
      <c r="C99" s="57" t="s">
        <v>18</v>
      </c>
      <c r="D99" s="58" t="s">
        <v>327</v>
      </c>
      <c r="E99" s="63" t="s">
        <v>252</v>
      </c>
      <c r="F99" s="60">
        <v>6900</v>
      </c>
      <c r="G99" s="61">
        <v>1</v>
      </c>
      <c r="H99" s="62">
        <f t="shared" si="4"/>
        <v>6900</v>
      </c>
      <c r="I99" s="63" t="str">
        <f t="shared" si="5"/>
        <v>센텔리안 24 마데카 옴프 올인원.jpg</v>
      </c>
      <c r="J99" s="63"/>
      <c r="K99" s="53" t="str">
        <f t="shared" si="3"/>
        <v>{"ITM_SEQ":"66","TYPE":"화장품","TYPE_DTL":"미정","ITM_NM":"센텔리안 24 마데카 옴프 올인원","PRICE":"6900","UNIT":"1","":"6900","IMG":"센텔리안 24 마데카 옴프 올인원.jpg"},</v>
      </c>
    </row>
    <row r="100" spans="2:11" ht="14.4" customHeight="1">
      <c r="B100" s="64">
        <v>67</v>
      </c>
      <c r="C100" s="57" t="s">
        <v>18</v>
      </c>
      <c r="D100" s="58" t="s">
        <v>327</v>
      </c>
      <c r="E100" s="63" t="s">
        <v>253</v>
      </c>
      <c r="F100" s="60">
        <v>10900</v>
      </c>
      <c r="G100" s="61">
        <v>1</v>
      </c>
      <c r="H100" s="62">
        <f t="shared" si="4"/>
        <v>10900</v>
      </c>
      <c r="I100" s="63" t="str">
        <f t="shared" si="5"/>
        <v>센텔리안24 링클셀 코어 아이크림.jpg</v>
      </c>
      <c r="J100" s="63"/>
      <c r="K100" s="53" t="str">
        <f t="shared" si="3"/>
        <v>{"ITM_SEQ":"67","TYPE":"화장품","TYPE_DTL":"미정","ITM_NM":"센텔리안24 링클셀 코어 아이크림","PRICE":"10900","UNIT":"1","":"10900","IMG":"센텔리안24 링클셀 코어 아이크림.jpg"},</v>
      </c>
    </row>
    <row r="101" spans="2:11" ht="14.4" customHeight="1">
      <c r="B101" s="64">
        <v>218</v>
      </c>
      <c r="C101" s="57" t="s">
        <v>6</v>
      </c>
      <c r="D101" s="58" t="s">
        <v>327</v>
      </c>
      <c r="E101" s="63" t="s">
        <v>254</v>
      </c>
      <c r="F101" s="60">
        <v>1300</v>
      </c>
      <c r="G101" s="61">
        <v>1</v>
      </c>
      <c r="H101" s="62">
        <f t="shared" si="4"/>
        <v>1300</v>
      </c>
      <c r="I101" s="63" t="str">
        <f t="shared" si="5"/>
        <v>셀시어스 스파클링 오렌지맛.jpg</v>
      </c>
      <c r="J101" s="63"/>
      <c r="K101" s="53" t="str">
        <f t="shared" ref="K101:K153" si="6">_xlfn.CONCAT("{""",$B$3,""":""",B101,""",""",$C$3,""":""",C101,""",""",$D$3,""":""",D101,""",""",$E$3,""":""",E101,""",""",$F$3,""":""",F101,""",""",$G$3,""":""",G101,""",""",$H$3,""":""",H101,""",""",$I$3,""":""",I101,"""},")</f>
        <v>{"ITM_SEQ":"218","TYPE":"기타","TYPE_DTL":"미정","ITM_NM":"셀시어스 스파클링 오렌지맛","PRICE":"1300","UNIT":"1","":"1300","IMG":"셀시어스 스파클링 오렌지맛.jpg"},</v>
      </c>
    </row>
    <row r="102" spans="2:11" ht="14.4" customHeight="1">
      <c r="B102" s="64">
        <v>68</v>
      </c>
      <c r="C102" s="57" t="s">
        <v>18</v>
      </c>
      <c r="D102" s="58" t="s">
        <v>327</v>
      </c>
      <c r="E102" s="63" t="s">
        <v>255</v>
      </c>
      <c r="F102" s="60">
        <v>8990</v>
      </c>
      <c r="G102" s="61">
        <v>1</v>
      </c>
      <c r="H102" s="62">
        <f t="shared" si="4"/>
        <v>8990</v>
      </c>
      <c r="I102" s="63" t="str">
        <f t="shared" si="5"/>
        <v>셀퓨전씨 데일리 리페어 레이저크림.jpg</v>
      </c>
      <c r="J102" s="63"/>
      <c r="K102" s="53" t="str">
        <f t="shared" si="6"/>
        <v>{"ITM_SEQ":"68","TYPE":"화장품","TYPE_DTL":"미정","ITM_NM":"셀퓨전씨 데일리 리페어 레이저크림","PRICE":"8990","UNIT":"1","":"8990","IMG":"셀퓨전씨 데일리 리페어 레이저크림.jpg"},</v>
      </c>
    </row>
    <row r="103" spans="2:11" ht="14.4" customHeight="1">
      <c r="B103" s="64">
        <v>69</v>
      </c>
      <c r="C103" s="57" t="s">
        <v>18</v>
      </c>
      <c r="D103" s="58" t="s">
        <v>327</v>
      </c>
      <c r="E103" s="63" t="s">
        <v>256</v>
      </c>
      <c r="F103" s="60">
        <v>4480</v>
      </c>
      <c r="G103" s="61">
        <v>1</v>
      </c>
      <c r="H103" s="62">
        <f t="shared" si="4"/>
        <v>4480</v>
      </c>
      <c r="I103" s="63" t="str">
        <f t="shared" si="5"/>
        <v>셀퓨젼시 카밍다운크림.jpg</v>
      </c>
      <c r="J103" s="63"/>
      <c r="K103" s="53" t="str">
        <f t="shared" si="6"/>
        <v>{"ITM_SEQ":"69","TYPE":"화장품","TYPE_DTL":"미정","ITM_NM":"셀퓨젼시 카밍다운크림","PRICE":"4480","UNIT":"1","":"4480","IMG":"셀퓨젼시 카밍다운크림.jpg"},</v>
      </c>
    </row>
    <row r="104" spans="2:11" ht="14.4" customHeight="1">
      <c r="B104" s="64">
        <v>148</v>
      </c>
      <c r="C104" s="57" t="s">
        <v>12</v>
      </c>
      <c r="D104" s="58" t="s">
        <v>327</v>
      </c>
      <c r="E104" s="63" t="s">
        <v>257</v>
      </c>
      <c r="F104" s="60">
        <v>400</v>
      </c>
      <c r="G104" s="61">
        <v>10</v>
      </c>
      <c r="H104" s="62">
        <f t="shared" si="4"/>
        <v>4000</v>
      </c>
      <c r="I104" s="63" t="str">
        <f t="shared" si="5"/>
        <v>스낵면.jpg</v>
      </c>
      <c r="J104" s="63"/>
      <c r="K104" s="53" t="str">
        <f t="shared" si="6"/>
        <v>{"ITM_SEQ":"148","TYPE":"식품","TYPE_DTL":"미정","ITM_NM":"스낵면","PRICE":"400","UNIT":"10","":"4000","IMG":"스낵면.jpg"},</v>
      </c>
    </row>
    <row r="105" spans="2:11" ht="14.4" customHeight="1">
      <c r="B105" s="64">
        <v>219</v>
      </c>
      <c r="C105" s="57" t="s">
        <v>6</v>
      </c>
      <c r="D105" s="58" t="s">
        <v>327</v>
      </c>
      <c r="E105" s="63" t="s">
        <v>258</v>
      </c>
      <c r="F105" s="60">
        <v>6570</v>
      </c>
      <c r="G105" s="61">
        <v>1</v>
      </c>
      <c r="H105" s="62">
        <f t="shared" si="4"/>
        <v>6570</v>
      </c>
      <c r="I105" s="63" t="str">
        <f t="shared" si="5"/>
        <v>스킨유 이노센트 컴포티우디 샤워젤.jpg</v>
      </c>
      <c r="J105" s="63"/>
      <c r="K105" s="53" t="str">
        <f t="shared" si="6"/>
        <v>{"ITM_SEQ":"219","TYPE":"기타","TYPE_DTL":"미정","ITM_NM":"스킨유 이노센트 컴포티우디 샤워젤","PRICE":"6570","UNIT":"1","":"6570","IMG":"스킨유 이노센트 컴포티우디 샤워젤.jpg"},</v>
      </c>
    </row>
    <row r="106" spans="2:11" ht="14.4" customHeight="1">
      <c r="B106" s="64">
        <v>220</v>
      </c>
      <c r="C106" s="57" t="s">
        <v>6</v>
      </c>
      <c r="D106" s="58" t="s">
        <v>327</v>
      </c>
      <c r="E106" s="63" t="s">
        <v>259</v>
      </c>
      <c r="F106" s="60">
        <v>2400</v>
      </c>
      <c r="G106" s="61">
        <v>1</v>
      </c>
      <c r="H106" s="62">
        <f t="shared" si="4"/>
        <v>2400</v>
      </c>
      <c r="I106" s="63" t="str">
        <f t="shared" si="5"/>
        <v>스팀베이스 데일리 아이마스크 라벤더.jpg</v>
      </c>
      <c r="J106" s="63"/>
      <c r="K106" s="53" t="str">
        <f t="shared" si="6"/>
        <v>{"ITM_SEQ":"220","TYPE":"기타","TYPE_DTL":"미정","ITM_NM":"스팀베이스 데일리 아이마스크 라벤더","PRICE":"2400","UNIT":"1","":"2400","IMG":"스팀베이스 데일리 아이마스크 라벤더.jpg"},</v>
      </c>
    </row>
    <row r="107" spans="2:11" ht="14.4" customHeight="1">
      <c r="B107" s="64">
        <v>149</v>
      </c>
      <c r="C107" s="57" t="s">
        <v>12</v>
      </c>
      <c r="D107" s="58" t="s">
        <v>327</v>
      </c>
      <c r="E107" s="63" t="s">
        <v>260</v>
      </c>
      <c r="F107" s="60">
        <v>4600</v>
      </c>
      <c r="G107" s="61">
        <v>1</v>
      </c>
      <c r="H107" s="62">
        <f t="shared" si="4"/>
        <v>4600</v>
      </c>
      <c r="I107" s="63" t="str">
        <f t="shared" si="5"/>
        <v>스페셜k 오리지날.jpg</v>
      </c>
      <c r="J107" s="63"/>
      <c r="K107" s="53" t="str">
        <f t="shared" si="6"/>
        <v>{"ITM_SEQ":"149","TYPE":"식품","TYPE_DTL":"미정","ITM_NM":"스페셜k 오리지날","PRICE":"4600","UNIT":"1","":"4600","IMG":"스페셜k 오리지날.jpg"},</v>
      </c>
    </row>
    <row r="108" spans="2:11" ht="14.4" customHeight="1">
      <c r="B108" s="64">
        <v>70</v>
      </c>
      <c r="C108" s="57" t="s">
        <v>18</v>
      </c>
      <c r="D108" s="58" t="s">
        <v>327</v>
      </c>
      <c r="E108" s="63" t="s">
        <v>261</v>
      </c>
      <c r="F108" s="60">
        <v>7100</v>
      </c>
      <c r="G108" s="61">
        <v>1</v>
      </c>
      <c r="H108" s="62">
        <f t="shared" si="4"/>
        <v>7100</v>
      </c>
      <c r="I108" s="63" t="str">
        <f t="shared" si="5"/>
        <v>아누아 어성초 80 수분 진정 앰플.jpg</v>
      </c>
      <c r="J108" s="63"/>
      <c r="K108" s="53" t="str">
        <f t="shared" si="6"/>
        <v>{"ITM_SEQ":"70","TYPE":"화장품","TYPE_DTL":"미정","ITM_NM":"아누아 어성초 80 수분 진정 앰플","PRICE":"7100","UNIT":"1","":"7100","IMG":"아누아 어성초 80 수분 진정 앰플.jpg"},</v>
      </c>
    </row>
    <row r="109" spans="2:11" ht="14.4" customHeight="1">
      <c r="B109" s="64">
        <v>71</v>
      </c>
      <c r="C109" s="57" t="s">
        <v>18</v>
      </c>
      <c r="D109" s="58" t="s">
        <v>327</v>
      </c>
      <c r="E109" s="63" t="s">
        <v>262</v>
      </c>
      <c r="F109" s="60">
        <v>10360</v>
      </c>
      <c r="G109" s="61">
        <v>1</v>
      </c>
      <c r="H109" s="62">
        <f t="shared" si="4"/>
        <v>10360</v>
      </c>
      <c r="I109" s="63" t="str">
        <f t="shared" si="5"/>
        <v>아누아 어성초70 데일리 로션 200ml.jpg</v>
      </c>
      <c r="J109" s="63"/>
      <c r="K109" s="53" t="str">
        <f t="shared" si="6"/>
        <v>{"ITM_SEQ":"71","TYPE":"화장품","TYPE_DTL":"미정","ITM_NM":"아누아 어성초70 데일리 로션 200ml","PRICE":"10360","UNIT":"1","":"10360","IMG":"아누아 어성초70 데일리 로션 200ml.jpg"},</v>
      </c>
    </row>
    <row r="110" spans="2:11" ht="14.4" customHeight="1">
      <c r="B110" s="64">
        <v>150</v>
      </c>
      <c r="C110" s="57" t="s">
        <v>12</v>
      </c>
      <c r="D110" s="58" t="s">
        <v>327</v>
      </c>
      <c r="E110" s="63" t="s">
        <v>263</v>
      </c>
      <c r="F110" s="60">
        <v>630</v>
      </c>
      <c r="G110" s="61">
        <v>10</v>
      </c>
      <c r="H110" s="62">
        <f t="shared" si="4"/>
        <v>6300</v>
      </c>
      <c r="I110" s="63" t="str">
        <f t="shared" si="5"/>
        <v>아몬드 빼빼로.jpg</v>
      </c>
      <c r="J110" s="63"/>
      <c r="K110" s="53" t="str">
        <f t="shared" si="6"/>
        <v>{"ITM_SEQ":"150","TYPE":"식품","TYPE_DTL":"미정","ITM_NM":"아몬드 빼빼로","PRICE":"630","UNIT":"10","":"6300","IMG":"아몬드 빼빼로.jpg"},</v>
      </c>
    </row>
    <row r="111" spans="2:11" ht="14.4" customHeight="1">
      <c r="B111" s="64">
        <v>151</v>
      </c>
      <c r="C111" s="57" t="s">
        <v>12</v>
      </c>
      <c r="D111" s="58" t="s">
        <v>327</v>
      </c>
      <c r="E111" s="63" t="s">
        <v>264</v>
      </c>
      <c r="F111" s="60">
        <v>660</v>
      </c>
      <c r="G111" s="61">
        <v>10</v>
      </c>
      <c r="H111" s="62">
        <f t="shared" si="4"/>
        <v>6600</v>
      </c>
      <c r="I111" s="63" t="str">
        <f t="shared" si="5"/>
        <v>아몬드초코볼.jpg</v>
      </c>
      <c r="J111" s="63"/>
      <c r="K111" s="53" t="str">
        <f t="shared" si="6"/>
        <v>{"ITM_SEQ":"151","TYPE":"식품","TYPE_DTL":"미정","ITM_NM":"아몬드초코볼","PRICE":"660","UNIT":"10","":"6600","IMG":"아몬드초코볼.jpg"},</v>
      </c>
    </row>
    <row r="112" spans="2:11" ht="14.4" customHeight="1">
      <c r="B112" s="64">
        <v>152</v>
      </c>
      <c r="C112" s="57" t="s">
        <v>12</v>
      </c>
      <c r="D112" s="58" t="s">
        <v>327</v>
      </c>
      <c r="E112" s="63" t="s">
        <v>265</v>
      </c>
      <c r="F112" s="60">
        <v>4690</v>
      </c>
      <c r="G112" s="61">
        <v>1</v>
      </c>
      <c r="H112" s="62">
        <f t="shared" si="4"/>
        <v>4690</v>
      </c>
      <c r="I112" s="63" t="str">
        <f t="shared" si="5"/>
        <v>아몬드푸레이크.jpg</v>
      </c>
      <c r="J112" s="63"/>
      <c r="K112" s="53" t="str">
        <f t="shared" si="6"/>
        <v>{"ITM_SEQ":"152","TYPE":"식품","TYPE_DTL":"미정","ITM_NM":"아몬드푸레이크","PRICE":"4690","UNIT":"1","":"4690","IMG":"아몬드푸레이크.jpg"},</v>
      </c>
    </row>
    <row r="113" spans="2:11" ht="14.4" customHeight="1">
      <c r="B113" s="64">
        <v>72</v>
      </c>
      <c r="C113" s="57" t="s">
        <v>18</v>
      </c>
      <c r="D113" s="58" t="s">
        <v>327</v>
      </c>
      <c r="E113" s="63" t="s">
        <v>266</v>
      </c>
      <c r="F113" s="60">
        <v>9800</v>
      </c>
      <c r="G113" s="61">
        <v>1</v>
      </c>
      <c r="H113" s="62">
        <f t="shared" si="4"/>
        <v>9800</v>
      </c>
      <c r="I113" s="63" t="str">
        <f t="shared" si="5"/>
        <v>아비브 부활초 크림 뉴트리션 튜브.jpg</v>
      </c>
      <c r="J113" s="63"/>
      <c r="K113" s="53" t="str">
        <f t="shared" si="6"/>
        <v>{"ITM_SEQ":"72","TYPE":"화장품","TYPE_DTL":"미정","ITM_NM":"아비브 부활초 크림 뉴트리션 튜브","PRICE":"9800","UNIT":"1","":"9800","IMG":"아비브 부활초 크림 뉴트리션 튜브.jpg"},</v>
      </c>
    </row>
    <row r="114" spans="2:11" ht="14.4" customHeight="1">
      <c r="B114" s="64">
        <v>73</v>
      </c>
      <c r="C114" s="57" t="s">
        <v>18</v>
      </c>
      <c r="D114" s="58" t="s">
        <v>327</v>
      </c>
      <c r="E114" s="63" t="s">
        <v>267</v>
      </c>
      <c r="F114" s="60">
        <v>1500</v>
      </c>
      <c r="G114" s="61">
        <v>10</v>
      </c>
      <c r="H114" s="62">
        <f t="shared" si="4"/>
        <v>15000</v>
      </c>
      <c r="I114" s="63" t="str">
        <f t="shared" si="5"/>
        <v>아비브 수분초 콜라겐 젤 마스크팩 .jpg</v>
      </c>
      <c r="J114" s="63"/>
      <c r="K114" s="53" t="str">
        <f t="shared" si="6"/>
        <v>{"ITM_SEQ":"73","TYPE":"화장품","TYPE_DTL":"미정","ITM_NM":"아비브 수분초 콜라겐 젤 마스크팩 ","PRICE":"1500","UNIT":"10","":"15000","IMG":"아비브 수분초 콜라겐 젤 마스크팩 .jpg"},</v>
      </c>
    </row>
    <row r="115" spans="2:11" ht="14.4" customHeight="1">
      <c r="B115" s="64">
        <v>74</v>
      </c>
      <c r="C115" s="57" t="s">
        <v>18</v>
      </c>
      <c r="D115" s="58" t="s">
        <v>327</v>
      </c>
      <c r="E115" s="63" t="s">
        <v>268</v>
      </c>
      <c r="F115" s="60">
        <v>6210</v>
      </c>
      <c r="G115" s="61">
        <v>1</v>
      </c>
      <c r="H115" s="62">
        <f t="shared" si="4"/>
        <v>6210</v>
      </c>
      <c r="I115" s="63" t="str">
        <f t="shared" si="5"/>
        <v>아비브 아크네 폼 클렌저 어성초.jpg</v>
      </c>
      <c r="J115" s="63"/>
      <c r="K115" s="53" t="str">
        <f t="shared" si="6"/>
        <v>{"ITM_SEQ":"74","TYPE":"화장품","TYPE_DTL":"미정","ITM_NM":"아비브 아크네 폼 클렌저 어성초","PRICE":"6210","UNIT":"1","":"6210","IMG":"아비브 아크네 폼 클렌저 어성초.jpg"},</v>
      </c>
    </row>
    <row r="116" spans="2:11" ht="14.4" customHeight="1">
      <c r="B116" s="64">
        <v>75</v>
      </c>
      <c r="C116" s="57" t="s">
        <v>18</v>
      </c>
      <c r="D116" s="58" t="s">
        <v>327</v>
      </c>
      <c r="E116" s="63" t="s">
        <v>269</v>
      </c>
      <c r="F116" s="60">
        <v>1000</v>
      </c>
      <c r="G116" s="61">
        <v>20</v>
      </c>
      <c r="H116" s="62">
        <f t="shared" si="4"/>
        <v>20000</v>
      </c>
      <c r="I116" s="63" t="str">
        <f t="shared" si="5"/>
        <v>아비브 약산성 pH 시트 마스크.jpg</v>
      </c>
      <c r="J116" s="63"/>
      <c r="K116" s="53" t="str">
        <f t="shared" si="6"/>
        <v>{"ITM_SEQ":"75","TYPE":"화장품","TYPE_DTL":"미정","ITM_NM":"아비브 약산성 pH 시트 마스크","PRICE":"1000","UNIT":"20","":"20000","IMG":"아비브 약산성 pH 시트 마스크.jpg"},</v>
      </c>
    </row>
    <row r="117" spans="2:11" ht="14.4" customHeight="1">
      <c r="B117" s="64">
        <v>76</v>
      </c>
      <c r="C117" s="57" t="s">
        <v>18</v>
      </c>
      <c r="D117" s="58" t="s">
        <v>327</v>
      </c>
      <c r="E117" s="63" t="s">
        <v>270</v>
      </c>
      <c r="F117" s="60">
        <v>7990</v>
      </c>
      <c r="G117" s="61">
        <v>1</v>
      </c>
      <c r="H117" s="62">
        <f t="shared" si="4"/>
        <v>7990</v>
      </c>
      <c r="I117" s="63" t="str">
        <f t="shared" si="5"/>
        <v>아비브 어성초 에센스 카밍펌프.jpg</v>
      </c>
      <c r="J117" s="63"/>
      <c r="K117" s="53" t="str">
        <f t="shared" si="6"/>
        <v>{"ITM_SEQ":"76","TYPE":"화장품","TYPE_DTL":"미정","ITM_NM":"아비브 어성초 에센스 카밍펌프","PRICE":"7990","UNIT":"1","":"7990","IMG":"아비브 어성초 에센스 카밍펌프.jpg"},</v>
      </c>
    </row>
    <row r="118" spans="2:11" ht="14.4" customHeight="1">
      <c r="B118" s="64">
        <v>77</v>
      </c>
      <c r="C118" s="57" t="s">
        <v>18</v>
      </c>
      <c r="D118" s="58" t="s">
        <v>327</v>
      </c>
      <c r="E118" s="63" t="s">
        <v>271</v>
      </c>
      <c r="F118" s="60">
        <v>1500</v>
      </c>
      <c r="G118" s="61">
        <v>30</v>
      </c>
      <c r="H118" s="62">
        <f t="shared" si="4"/>
        <v>45000</v>
      </c>
      <c r="I118" s="63" t="str">
        <f t="shared" si="5"/>
        <v>아비브 콜라겐 겔마스크 수분초 젤.jpg</v>
      </c>
      <c r="J118" s="63"/>
      <c r="K118" s="53" t="str">
        <f t="shared" si="6"/>
        <v>{"ITM_SEQ":"77","TYPE":"화장품","TYPE_DTL":"미정","ITM_NM":"아비브 콜라겐 겔마스크 수분초 젤","PRICE":"1500","UNIT":"30","":"45000","IMG":"아비브 콜라겐 겔마스크 수분초 젤.jpg"},</v>
      </c>
    </row>
    <row r="119" spans="2:11" ht="14.4" customHeight="1">
      <c r="B119" s="64">
        <v>221</v>
      </c>
      <c r="C119" s="57" t="s">
        <v>12</v>
      </c>
      <c r="D119" s="58" t="s">
        <v>327</v>
      </c>
      <c r="E119" s="63" t="s">
        <v>272</v>
      </c>
      <c r="F119" s="60">
        <v>4140</v>
      </c>
      <c r="G119" s="61">
        <v>1</v>
      </c>
      <c r="H119" s="62">
        <f t="shared" si="4"/>
        <v>4140</v>
      </c>
      <c r="I119" s="63" t="str">
        <f t="shared" si="5"/>
        <v>아워티 핑크리치 캐모마일티 8p.jpg</v>
      </c>
      <c r="J119" s="63"/>
      <c r="K119" s="53" t="str">
        <f t="shared" si="6"/>
        <v>{"ITM_SEQ":"221","TYPE":"식품","TYPE_DTL":"미정","ITM_NM":"아워티 핑크리치 캐모마일티 8p","PRICE":"4140","UNIT":"1","":"4140","IMG":"아워티 핑크리치 캐모마일티 8p.jpg"},</v>
      </c>
    </row>
    <row r="120" spans="2:11" ht="14.4" customHeight="1">
      <c r="B120" s="64">
        <v>78</v>
      </c>
      <c r="C120" s="57" t="s">
        <v>18</v>
      </c>
      <c r="D120" s="58" t="s">
        <v>327</v>
      </c>
      <c r="E120" s="63" t="s">
        <v>318</v>
      </c>
      <c r="F120" s="60">
        <v>9800</v>
      </c>
      <c r="G120" s="61">
        <v>1</v>
      </c>
      <c r="H120" s="62">
        <f t="shared" si="4"/>
        <v>9800</v>
      </c>
      <c r="I120" s="63" t="str">
        <f t="shared" si="5"/>
        <v>아이브 부활초 크림 뉴트리션 튜브.jpg</v>
      </c>
      <c r="J120" s="63"/>
      <c r="K120" s="53" t="str">
        <f t="shared" si="6"/>
        <v>{"ITM_SEQ":"78","TYPE":"화장품","TYPE_DTL":"미정","ITM_NM":"아이브 부활초 크림 뉴트리션 튜브","PRICE":"9800","UNIT":"1","":"9800","IMG":"아이브 부활초 크림 뉴트리션 튜브.jpg"},</v>
      </c>
    </row>
    <row r="121" spans="2:11" ht="14.4" customHeight="1">
      <c r="B121" s="64">
        <v>79</v>
      </c>
      <c r="C121" s="57" t="s">
        <v>18</v>
      </c>
      <c r="D121" s="58" t="s">
        <v>327</v>
      </c>
      <c r="E121" s="63" t="s">
        <v>319</v>
      </c>
      <c r="F121" s="60">
        <v>11390</v>
      </c>
      <c r="G121" s="61">
        <v>1</v>
      </c>
      <c r="H121" s="62">
        <f t="shared" si="4"/>
        <v>11390</v>
      </c>
      <c r="I121" s="63" t="str">
        <f t="shared" si="5"/>
        <v>아이소이 블레미쉬 케어 업 크림.jpg</v>
      </c>
      <c r="J121" s="63"/>
      <c r="K121" s="53" t="str">
        <f t="shared" si="6"/>
        <v>{"ITM_SEQ":"79","TYPE":"화장품","TYPE_DTL":"미정","ITM_NM":"아이소이 블레미쉬 케어 업 크림","PRICE":"11390","UNIT":"1","":"11390","IMG":"아이소이 블레미쉬 케어 업 크림.jpg"},</v>
      </c>
    </row>
    <row r="122" spans="2:11" ht="14.4" customHeight="1">
      <c r="B122" s="64">
        <v>80</v>
      </c>
      <c r="C122" s="57" t="s">
        <v>18</v>
      </c>
      <c r="D122" s="58" t="s">
        <v>327</v>
      </c>
      <c r="E122" s="63" t="s">
        <v>273</v>
      </c>
      <c r="F122" s="60">
        <v>11690</v>
      </c>
      <c r="G122" s="61">
        <v>1</v>
      </c>
      <c r="H122" s="62">
        <f t="shared" si="4"/>
        <v>11690</v>
      </c>
      <c r="I122" s="63" t="str">
        <f t="shared" si="5"/>
        <v>아이소이 인텐시브 리프팅 스팟.jpg</v>
      </c>
      <c r="J122" s="63"/>
      <c r="K122" s="53" t="str">
        <f t="shared" si="6"/>
        <v>{"ITM_SEQ":"80","TYPE":"화장품","TYPE_DTL":"미정","ITM_NM":"아이소이 인텐시브 리프팅 스팟","PRICE":"11690","UNIT":"1","":"11690","IMG":"아이소이 인텐시브 리프팅 스팟.jpg"},</v>
      </c>
    </row>
    <row r="123" spans="2:11" ht="14.4" customHeight="1">
      <c r="B123" s="64">
        <v>46</v>
      </c>
      <c r="C123" s="57" t="s">
        <v>18</v>
      </c>
      <c r="D123" s="57" t="s">
        <v>22</v>
      </c>
      <c r="E123" s="63" t="s">
        <v>187</v>
      </c>
      <c r="F123" s="60">
        <v>14090</v>
      </c>
      <c r="G123" s="61">
        <v>1</v>
      </c>
      <c r="H123" s="62">
        <f t="shared" si="4"/>
        <v>14090</v>
      </c>
      <c r="I123" s="63" t="str">
        <f t="shared" si="5"/>
        <v>아이소이 탄력크림EX.jpg</v>
      </c>
      <c r="J123" s="63"/>
      <c r="K123" s="53" t="str">
        <f t="shared" si="6"/>
        <v>{"ITM_SEQ":"46","TYPE":"화장품","TYPE_DTL":"영양크림","ITM_NM":"아이소이 탄력크림EX","PRICE":"14090","UNIT":"1","":"14090","IMG":"아이소이 탄력크림EX.jpg"},</v>
      </c>
    </row>
    <row r="124" spans="2:11" ht="14.4" customHeight="1">
      <c r="B124" s="64">
        <v>153</v>
      </c>
      <c r="C124" s="57" t="s">
        <v>12</v>
      </c>
      <c r="D124" s="58" t="s">
        <v>327</v>
      </c>
      <c r="E124" s="63" t="s">
        <v>274</v>
      </c>
      <c r="F124" s="60">
        <v>630</v>
      </c>
      <c r="G124" s="61">
        <v>10</v>
      </c>
      <c r="H124" s="62">
        <f t="shared" si="4"/>
        <v>6300</v>
      </c>
      <c r="I124" s="63" t="str">
        <f t="shared" si="5"/>
        <v>안성탕면.jpg</v>
      </c>
      <c r="J124" s="63"/>
      <c r="K124" s="53" t="str">
        <f t="shared" si="6"/>
        <v>{"ITM_SEQ":"153","TYPE":"식품","TYPE_DTL":"미정","ITM_NM":"안성탕면","PRICE":"630","UNIT":"10","":"6300","IMG":"안성탕면.jpg"},</v>
      </c>
    </row>
    <row r="125" spans="2:11" ht="14.4" customHeight="1">
      <c r="B125" s="64">
        <v>222</v>
      </c>
      <c r="C125" s="57" t="s">
        <v>6</v>
      </c>
      <c r="D125" s="58" t="s">
        <v>327</v>
      </c>
      <c r="E125" s="63" t="s">
        <v>275</v>
      </c>
      <c r="F125" s="60">
        <v>2690</v>
      </c>
      <c r="G125" s="61">
        <v>1</v>
      </c>
      <c r="H125" s="62">
        <f t="shared" si="4"/>
        <v>2690</v>
      </c>
      <c r="I125" s="63" t="str">
        <f t="shared" si="5"/>
        <v>액츠프리미엄젤 프레쉬.jpg</v>
      </c>
      <c r="J125" s="63"/>
      <c r="K125" s="53" t="str">
        <f t="shared" si="6"/>
        <v>{"ITM_SEQ":"222","TYPE":"기타","TYPE_DTL":"미정","ITM_NM":"액츠프리미엄젤 프레쉬","PRICE":"2690","UNIT":"1","":"2690","IMG":"액츠프리미엄젤 프레쉬.jpg"},</v>
      </c>
    </row>
    <row r="126" spans="2:11" ht="14.4" customHeight="1">
      <c r="B126" s="64">
        <v>81</v>
      </c>
      <c r="C126" s="57" t="s">
        <v>18</v>
      </c>
      <c r="D126" s="58" t="s">
        <v>327</v>
      </c>
      <c r="E126" s="63" t="s">
        <v>320</v>
      </c>
      <c r="F126" s="60">
        <v>14850</v>
      </c>
      <c r="G126" s="61">
        <v>1</v>
      </c>
      <c r="H126" s="62">
        <f t="shared" si="4"/>
        <v>14850</v>
      </c>
      <c r="I126" s="63" t="str">
        <f t="shared" si="5"/>
        <v>액티브 프로 바이오틱스.jpg</v>
      </c>
      <c r="J126" s="63"/>
      <c r="K126" s="53" t="str">
        <f t="shared" si="6"/>
        <v>{"ITM_SEQ":"81","TYPE":"화장품","TYPE_DTL":"미정","ITM_NM":"액티브 프로 바이오틱스","PRICE":"14850","UNIT":"1","":"14850","IMG":"액티브 프로 바이오틱스.jpg"},</v>
      </c>
    </row>
    <row r="127" spans="2:11" ht="14.4" customHeight="1">
      <c r="B127" s="64">
        <v>154</v>
      </c>
      <c r="C127" s="57" t="s">
        <v>12</v>
      </c>
      <c r="D127" s="58" t="s">
        <v>327</v>
      </c>
      <c r="E127" s="63" t="s">
        <v>276</v>
      </c>
      <c r="F127" s="60">
        <v>2640</v>
      </c>
      <c r="G127" s="61">
        <v>1</v>
      </c>
      <c r="H127" s="62">
        <f t="shared" si="4"/>
        <v>2640</v>
      </c>
      <c r="I127" s="63" t="str">
        <f t="shared" si="5"/>
        <v>엄마손파이.jpg</v>
      </c>
      <c r="J127" s="63"/>
      <c r="K127" s="53" t="str">
        <f t="shared" si="6"/>
        <v>{"ITM_SEQ":"154","TYPE":"식품","TYPE_DTL":"미정","ITM_NM":"엄마손파이","PRICE":"2640","UNIT":"1","":"2640","IMG":"엄마손파이.jpg"},</v>
      </c>
    </row>
    <row r="128" spans="2:11" ht="14.4" customHeight="1">
      <c r="B128" s="64">
        <v>3</v>
      </c>
      <c r="C128" s="57" t="s">
        <v>6</v>
      </c>
      <c r="D128" s="57" t="s">
        <v>7</v>
      </c>
      <c r="E128" s="63" t="s">
        <v>188</v>
      </c>
      <c r="F128" s="60">
        <v>8760</v>
      </c>
      <c r="G128" s="61">
        <v>1</v>
      </c>
      <c r="H128" s="62">
        <f t="shared" si="4"/>
        <v>8760</v>
      </c>
      <c r="I128" s="63" t="str">
        <f t="shared" si="5"/>
        <v>에멜시 차량용 방향제 170ml 헤블린 오션.jpg</v>
      </c>
      <c r="J128" s="63"/>
      <c r="K128" s="53" t="str">
        <f t="shared" si="6"/>
        <v>{"ITM_SEQ":"3","TYPE":"기타","TYPE_DTL":"디퓨저","ITM_NM":"에멜시 차량용 방향제 170ml 헤블린 오션","PRICE":"8760","UNIT":"1","":"8760","IMG":"에멜시 차량용 방향제 170ml 헤블린 오션.jpg"},</v>
      </c>
    </row>
    <row r="129" spans="2:11" ht="14.4" customHeight="1">
      <c r="B129" s="64">
        <v>223</v>
      </c>
      <c r="C129" s="57" t="s">
        <v>6</v>
      </c>
      <c r="D129" s="58" t="s">
        <v>327</v>
      </c>
      <c r="E129" s="63" t="s">
        <v>277</v>
      </c>
      <c r="F129" s="60">
        <v>4650</v>
      </c>
      <c r="G129" s="61">
        <v>1</v>
      </c>
      <c r="H129" s="62">
        <f t="shared" si="4"/>
        <v>4650</v>
      </c>
      <c r="I129" s="63" t="str">
        <f t="shared" si="5"/>
        <v>에코버 울세탁세제 허니듀.jpg</v>
      </c>
      <c r="J129" s="63"/>
      <c r="K129" s="53" t="str">
        <f t="shared" si="6"/>
        <v>{"ITM_SEQ":"223","TYPE":"기타","TYPE_DTL":"미정","ITM_NM":"에코버 울세탁세제 허니듀","PRICE":"4650","UNIT":"1","":"4650","IMG":"에코버 울세탁세제 허니듀.jpg"},</v>
      </c>
    </row>
    <row r="130" spans="2:11" ht="14.4" customHeight="1">
      <c r="B130" s="64">
        <v>224</v>
      </c>
      <c r="C130" s="57" t="s">
        <v>6</v>
      </c>
      <c r="D130" s="58" t="s">
        <v>327</v>
      </c>
      <c r="E130" s="63" t="s">
        <v>321</v>
      </c>
      <c r="F130" s="60">
        <v>1300</v>
      </c>
      <c r="G130" s="61">
        <v>1</v>
      </c>
      <c r="H130" s="62">
        <f t="shared" si="4"/>
        <v>1300</v>
      </c>
      <c r="I130" s="63" t="str">
        <f t="shared" si="5"/>
        <v>엘지생활건강 히말라야 핑크솔트 담은 펌핑 치약 아이스 카밍 민트 285g.jpg</v>
      </c>
      <c r="J130" s="63"/>
      <c r="K130" s="53" t="str">
        <f t="shared" si="6"/>
        <v>{"ITM_SEQ":"224","TYPE":"기타","TYPE_DTL":"미정","ITM_NM":"엘지생활건강 히말라야 핑크솔트 담은 펌핑 치약 아이스 카밍 민트 285g","PRICE":"1300","UNIT":"1","":"1300","IMG":"엘지생활건강 히말라야 핑크솔트 담은 펌핑 치약 아이스 카밍 민트 285g.jpg"},</v>
      </c>
    </row>
    <row r="131" spans="2:11" ht="14.4" customHeight="1">
      <c r="B131" s="64">
        <v>155</v>
      </c>
      <c r="C131" s="57" t="s">
        <v>12</v>
      </c>
      <c r="D131" s="58" t="s">
        <v>327</v>
      </c>
      <c r="E131" s="63" t="s">
        <v>278</v>
      </c>
      <c r="F131" s="60">
        <v>3180</v>
      </c>
      <c r="G131" s="61">
        <v>1</v>
      </c>
      <c r="H131" s="62">
        <f t="shared" si="4"/>
        <v>3180</v>
      </c>
      <c r="I131" s="63" t="str">
        <f t="shared" si="5"/>
        <v>옛날볶음참깨.jpg</v>
      </c>
      <c r="J131" s="63"/>
      <c r="K131" s="53" t="str">
        <f t="shared" si="6"/>
        <v>{"ITM_SEQ":"155","TYPE":"식품","TYPE_DTL":"미정","ITM_NM":"옛날볶음참깨","PRICE":"3180","UNIT":"1","":"3180","IMG":"옛날볶음참깨.jpg"},</v>
      </c>
    </row>
    <row r="132" spans="2:11" ht="14.4" customHeight="1">
      <c r="B132" s="64">
        <v>24</v>
      </c>
      <c r="C132" s="57" t="s">
        <v>12</v>
      </c>
      <c r="D132" s="57" t="s">
        <v>189</v>
      </c>
      <c r="E132" s="63" t="s">
        <v>190</v>
      </c>
      <c r="F132" s="60">
        <v>530</v>
      </c>
      <c r="G132" s="61">
        <v>15</v>
      </c>
      <c r="H132" s="62">
        <f t="shared" ref="H132:H190" si="7">F132*G132</f>
        <v>7950</v>
      </c>
      <c r="I132" s="63" t="str">
        <f t="shared" ref="I132:I190" si="8">_xlfn.CONCAT(E132, ".jpg")</f>
        <v>오뚜기 컵누들 매콤한 맛.jpg</v>
      </c>
      <c r="J132" s="63"/>
      <c r="K132" s="53" t="str">
        <f t="shared" si="6"/>
        <v>{"ITM_SEQ":"24","TYPE":"식품","TYPE_DTL":"라면","ITM_NM":"오뚜기 컵누들 매콤한 맛","PRICE":"530","UNIT":"15","":"7950","IMG":"오뚜기 컵누들 매콤한 맛.jpg"},</v>
      </c>
    </row>
    <row r="133" spans="2:11" ht="14.4" customHeight="1">
      <c r="B133" s="64">
        <v>225</v>
      </c>
      <c r="C133" s="57" t="s">
        <v>6</v>
      </c>
      <c r="D133" s="58" t="s">
        <v>327</v>
      </c>
      <c r="E133" s="63" t="s">
        <v>279</v>
      </c>
      <c r="F133" s="60">
        <v>510</v>
      </c>
      <c r="G133" s="61">
        <v>10</v>
      </c>
      <c r="H133" s="62">
        <f t="shared" si="7"/>
        <v>5100</v>
      </c>
      <c r="I133" s="63" t="str">
        <f t="shared" si="8"/>
        <v>왕고래밥볶음양념맛.jpg</v>
      </c>
      <c r="J133" s="63"/>
      <c r="K133" s="53" t="str">
        <f t="shared" si="6"/>
        <v>{"ITM_SEQ":"225","TYPE":"기타","TYPE_DTL":"미정","ITM_NM":"왕고래밥볶음양념맛","PRICE":"510","UNIT":"10","":"5100","IMG":"왕고래밥볶음양념맛.jpg"},</v>
      </c>
    </row>
    <row r="134" spans="2:11" ht="14.4" customHeight="1">
      <c r="B134" s="64">
        <v>85</v>
      </c>
      <c r="C134" s="57" t="s">
        <v>18</v>
      </c>
      <c r="D134" s="58" t="s">
        <v>327</v>
      </c>
      <c r="E134" s="63" t="s">
        <v>280</v>
      </c>
      <c r="F134" s="60">
        <v>6170</v>
      </c>
      <c r="G134" s="61">
        <v>1</v>
      </c>
      <c r="H134" s="62">
        <f t="shared" si="7"/>
        <v>6170</v>
      </c>
      <c r="I134" s="63" t="str">
        <f t="shared" si="8"/>
        <v>이니스프리 시카밤.jpg</v>
      </c>
      <c r="J134" s="63"/>
      <c r="K134" s="53" t="str">
        <f t="shared" si="6"/>
        <v>{"ITM_SEQ":"85","TYPE":"화장품","TYPE_DTL":"미정","ITM_NM":"이니스프리 시카밤","PRICE":"6170","UNIT":"1","":"6170","IMG":"이니스프리 시카밤.jpg"},</v>
      </c>
    </row>
    <row r="135" spans="2:11" ht="14.4" customHeight="1">
      <c r="B135" s="64">
        <v>44</v>
      </c>
      <c r="C135" s="57" t="s">
        <v>18</v>
      </c>
      <c r="D135" s="57" t="s">
        <v>22</v>
      </c>
      <c r="E135" s="63" t="s">
        <v>191</v>
      </c>
      <c r="F135" s="60">
        <v>7900</v>
      </c>
      <c r="G135" s="61">
        <v>1</v>
      </c>
      <c r="H135" s="62">
        <f t="shared" si="7"/>
        <v>7900</v>
      </c>
      <c r="I135" s="63" t="str">
        <f t="shared" si="8"/>
        <v>이니스프리 퍼펙트9인텐시브 크림.jpg</v>
      </c>
      <c r="J135" s="63"/>
      <c r="K135" s="53" t="str">
        <f t="shared" si="6"/>
        <v>{"ITM_SEQ":"44","TYPE":"화장품","TYPE_DTL":"영양크림","ITM_NM":"이니스프리 퍼펙트9인텐시브 크림","PRICE":"7900","UNIT":"1","":"7900","IMG":"이니스프리 퍼펙트9인텐시브 크림.jpg"},</v>
      </c>
    </row>
    <row r="136" spans="2:11" ht="14.4" customHeight="1">
      <c r="B136" s="64">
        <v>136</v>
      </c>
      <c r="C136" s="57" t="s">
        <v>12</v>
      </c>
      <c r="D136" s="57" t="s">
        <v>17</v>
      </c>
      <c r="E136" s="63" t="s">
        <v>281</v>
      </c>
      <c r="F136" s="60">
        <v>560</v>
      </c>
      <c r="G136" s="61">
        <v>20</v>
      </c>
      <c r="H136" s="62">
        <f t="shared" si="7"/>
        <v>11200</v>
      </c>
      <c r="I136" s="63" t="str">
        <f t="shared" si="8"/>
        <v>이클립스 쿨링 소프트 캔디 레몬맛.jpg</v>
      </c>
      <c r="J136" s="63"/>
      <c r="K136" s="53" t="str">
        <f t="shared" si="6"/>
        <v>{"ITM_SEQ":"136","TYPE":"식품","TYPE_DTL":"캔디","ITM_NM":"이클립스 쿨링 소프트 캔디 레몬맛","PRICE":"560","UNIT":"20","":"11200","IMG":"이클립스 쿨링 소프트 캔디 레몬맛.jpg"},</v>
      </c>
    </row>
    <row r="137" spans="2:11" ht="14.4" customHeight="1">
      <c r="B137" s="64">
        <v>29</v>
      </c>
      <c r="C137" s="57" t="s">
        <v>12</v>
      </c>
      <c r="D137" s="57" t="s">
        <v>17</v>
      </c>
      <c r="E137" s="63" t="s">
        <v>192</v>
      </c>
      <c r="F137" s="60">
        <v>960</v>
      </c>
      <c r="G137" s="61">
        <v>8</v>
      </c>
      <c r="H137" s="62">
        <f t="shared" si="7"/>
        <v>7680</v>
      </c>
      <c r="I137" s="63" t="str">
        <f t="shared" si="8"/>
        <v>이클립스 페퍼민트향 34g.jpg</v>
      </c>
      <c r="J137" s="63"/>
      <c r="K137" s="53" t="str">
        <f t="shared" si="6"/>
        <v>{"ITM_SEQ":"29","TYPE":"식품","TYPE_DTL":"캔디","ITM_NM":"이클립스 페퍼민트향 34g","PRICE":"960","UNIT":"8","":"7680","IMG":"이클립스 페퍼민트향 34g.jpg"},</v>
      </c>
    </row>
    <row r="138" spans="2:11" ht="14.4" customHeight="1">
      <c r="B138" s="64">
        <v>30</v>
      </c>
      <c r="C138" s="57" t="s">
        <v>12</v>
      </c>
      <c r="D138" s="57" t="s">
        <v>17</v>
      </c>
      <c r="E138" s="63" t="s">
        <v>193</v>
      </c>
      <c r="F138" s="60">
        <v>990</v>
      </c>
      <c r="G138" s="61">
        <v>8</v>
      </c>
      <c r="H138" s="62">
        <f t="shared" si="7"/>
        <v>7920</v>
      </c>
      <c r="I138" s="63" t="str">
        <f t="shared" si="8"/>
        <v>이클립스 피치향 34g.jpg</v>
      </c>
      <c r="J138" s="63"/>
      <c r="K138" s="53" t="str">
        <f t="shared" si="6"/>
        <v>{"ITM_SEQ":"30","TYPE":"식품","TYPE_DTL":"캔디","ITM_NM":"이클립스 피치향 34g","PRICE":"990","UNIT":"8","":"7920","IMG":"이클립스 피치향 34g.jpg"},</v>
      </c>
    </row>
    <row r="139" spans="2:11" ht="14.4" customHeight="1">
      <c r="B139" s="64">
        <v>86</v>
      </c>
      <c r="C139" s="57" t="s">
        <v>18</v>
      </c>
      <c r="D139" s="58" t="s">
        <v>327</v>
      </c>
      <c r="E139" s="63" t="s">
        <v>282</v>
      </c>
      <c r="F139" s="60">
        <v>5270</v>
      </c>
      <c r="G139" s="61">
        <v>1</v>
      </c>
      <c r="H139" s="62">
        <f t="shared" si="7"/>
        <v>5270</v>
      </c>
      <c r="I139" s="63" t="str">
        <f t="shared" si="8"/>
        <v>자민경크레마카발로 오일 투 폼(클렌징폼).jpg</v>
      </c>
      <c r="J139" s="63"/>
      <c r="K139" s="53" t="str">
        <f t="shared" si="6"/>
        <v>{"ITM_SEQ":"86","TYPE":"화장품","TYPE_DTL":"미정","ITM_NM":"자민경크레마카발로 오일 투 폼(클렌징폼)","PRICE":"5270","UNIT":"1","":"5270","IMG":"자민경크레마카발로 오일 투 폼(클렌징폼).jpg"},</v>
      </c>
    </row>
    <row r="140" spans="2:11" ht="14.4" customHeight="1">
      <c r="B140" s="64">
        <v>25</v>
      </c>
      <c r="C140" s="57" t="s">
        <v>12</v>
      </c>
      <c r="D140" s="57" t="s">
        <v>16</v>
      </c>
      <c r="E140" s="63" t="s">
        <v>194</v>
      </c>
      <c r="F140" s="60">
        <v>2550</v>
      </c>
      <c r="G140" s="61">
        <v>1</v>
      </c>
      <c r="H140" s="62">
        <f t="shared" si="7"/>
        <v>2550</v>
      </c>
      <c r="I140" s="63" t="str">
        <f t="shared" si="8"/>
        <v>쟈뎅 아워티 콤푸차 레몬 10p.jpg</v>
      </c>
      <c r="J140" s="63"/>
      <c r="K140" s="53" t="str">
        <f t="shared" si="6"/>
        <v>{"ITM_SEQ":"25","TYPE":"식품","TYPE_DTL":"차","ITM_NM":"쟈뎅 아워티 콤푸차 레몬 10p","PRICE":"2550","UNIT":"1","":"2550","IMG":"쟈뎅 아워티 콤푸차 레몬 10p.jpg"},</v>
      </c>
    </row>
    <row r="141" spans="2:11" ht="14.4" customHeight="1">
      <c r="B141" s="64">
        <v>26</v>
      </c>
      <c r="C141" s="57" t="s">
        <v>12</v>
      </c>
      <c r="D141" s="57" t="s">
        <v>16</v>
      </c>
      <c r="E141" s="63" t="s">
        <v>195</v>
      </c>
      <c r="F141" s="60">
        <v>2550</v>
      </c>
      <c r="G141" s="61">
        <v>1</v>
      </c>
      <c r="H141" s="62">
        <f t="shared" si="7"/>
        <v>2550</v>
      </c>
      <c r="I141" s="63" t="str">
        <f t="shared" si="8"/>
        <v>쟈뎅 아워티 콤푸차 베리 10p.jpg</v>
      </c>
      <c r="J141" s="63"/>
      <c r="K141" s="53" t="str">
        <f t="shared" si="6"/>
        <v>{"ITM_SEQ":"26","TYPE":"식품","TYPE_DTL":"차","ITM_NM":"쟈뎅 아워티 콤푸차 베리 10p","PRICE":"2550","UNIT":"1","":"2550","IMG":"쟈뎅 아워티 콤푸차 베리 10p.jpg"},</v>
      </c>
    </row>
    <row r="142" spans="2:11" ht="14.4" customHeight="1">
      <c r="B142" s="64">
        <v>27</v>
      </c>
      <c r="C142" s="57" t="s">
        <v>12</v>
      </c>
      <c r="D142" s="57" t="s">
        <v>16</v>
      </c>
      <c r="E142" s="63" t="s">
        <v>196</v>
      </c>
      <c r="F142" s="60">
        <v>2550</v>
      </c>
      <c r="G142" s="61">
        <v>1</v>
      </c>
      <c r="H142" s="62">
        <f t="shared" si="7"/>
        <v>2550</v>
      </c>
      <c r="I142" s="63" t="str">
        <f t="shared" si="8"/>
        <v>쟈뎅 아워티 콤푸차 자몽 10p.jpg</v>
      </c>
      <c r="J142" s="63"/>
      <c r="K142" s="53" t="str">
        <f t="shared" si="6"/>
        <v>{"ITM_SEQ":"27","TYPE":"식품","TYPE_DTL":"차","ITM_NM":"쟈뎅 아워티 콤푸차 자몽 10p","PRICE":"2550","UNIT":"1","":"2550","IMG":"쟈뎅 아워티 콤푸차 자몽 10p.jpg"},</v>
      </c>
    </row>
    <row r="143" spans="2:11" ht="14.4" customHeight="1">
      <c r="B143" s="64">
        <v>134</v>
      </c>
      <c r="C143" s="57" t="s">
        <v>12</v>
      </c>
      <c r="D143" s="57" t="s">
        <v>16</v>
      </c>
      <c r="E143" s="63" t="s">
        <v>283</v>
      </c>
      <c r="F143" s="60">
        <v>2220</v>
      </c>
      <c r="G143" s="61">
        <v>1</v>
      </c>
      <c r="H143" s="62">
        <f t="shared" si="7"/>
        <v>2220</v>
      </c>
      <c r="I143" s="63" t="str">
        <f t="shared" si="8"/>
        <v>제주앤팜 레몬차.jpg</v>
      </c>
      <c r="J143" s="63"/>
      <c r="K143" s="53" t="str">
        <f t="shared" si="6"/>
        <v>{"ITM_SEQ":"134","TYPE":"식품","TYPE_DTL":"차","ITM_NM":"제주앤팜 레몬차","PRICE":"2220","UNIT":"1","":"2220","IMG":"제주앤팜 레몬차.jpg"},</v>
      </c>
    </row>
    <row r="144" spans="2:11" ht="14.4" customHeight="1">
      <c r="B144" s="64">
        <v>135</v>
      </c>
      <c r="C144" s="57" t="s">
        <v>12</v>
      </c>
      <c r="D144" s="57" t="s">
        <v>16</v>
      </c>
      <c r="E144" s="63" t="s">
        <v>284</v>
      </c>
      <c r="F144" s="60">
        <v>2990</v>
      </c>
      <c r="G144" s="61">
        <v>1</v>
      </c>
      <c r="H144" s="62">
        <f t="shared" si="7"/>
        <v>2990</v>
      </c>
      <c r="I144" s="63" t="str">
        <f t="shared" si="8"/>
        <v>제주앤팜 한라봉차.jpg</v>
      </c>
      <c r="J144" s="63"/>
      <c r="K144" s="53" t="str">
        <f t="shared" si="6"/>
        <v>{"ITM_SEQ":"135","TYPE":"식품","TYPE_DTL":"차","ITM_NM":"제주앤팜 한라봉차","PRICE":"2990","UNIT":"1","":"2990","IMG":"제주앤팜 한라봉차.jpg"},</v>
      </c>
    </row>
    <row r="145" spans="2:11" ht="14.4" customHeight="1">
      <c r="B145" s="64">
        <v>2</v>
      </c>
      <c r="C145" s="57" t="s">
        <v>6</v>
      </c>
      <c r="D145" s="57" t="s">
        <v>7</v>
      </c>
      <c r="E145" s="63" t="s">
        <v>10</v>
      </c>
      <c r="F145" s="60">
        <v>6100</v>
      </c>
      <c r="G145" s="61">
        <v>1</v>
      </c>
      <c r="H145" s="62">
        <f t="shared" si="7"/>
        <v>6100</v>
      </c>
      <c r="I145" s="63" t="str">
        <f t="shared" si="8"/>
        <v>젠틀 디퓨저 블랙로즈.jpg</v>
      </c>
      <c r="J145" s="63"/>
      <c r="K145" s="53" t="str">
        <f t="shared" si="6"/>
        <v>{"ITM_SEQ":"2","TYPE":"기타","TYPE_DTL":"디퓨저","ITM_NM":"젠틀 디퓨저 블랙로즈","PRICE":"6100","UNIT":"1","":"6100","IMG":"젠틀 디퓨저 블랙로즈.jpg"},</v>
      </c>
    </row>
    <row r="146" spans="2:11" ht="14.4" customHeight="1">
      <c r="B146" s="64">
        <v>156</v>
      </c>
      <c r="C146" s="57" t="s">
        <v>12</v>
      </c>
      <c r="D146" s="58" t="s">
        <v>327</v>
      </c>
      <c r="E146" s="63" t="s">
        <v>285</v>
      </c>
      <c r="F146" s="60">
        <v>2340</v>
      </c>
      <c r="G146" s="61">
        <v>1</v>
      </c>
      <c r="H146" s="62">
        <f t="shared" si="7"/>
        <v>2340</v>
      </c>
      <c r="I146" s="63" t="str">
        <f t="shared" si="8"/>
        <v>졸음번쩍껌 울트라파워.jpg</v>
      </c>
      <c r="J146" s="63"/>
      <c r="K146" s="53" t="str">
        <f t="shared" si="6"/>
        <v>{"ITM_SEQ":"156","TYPE":"식품","TYPE_DTL":"미정","ITM_NM":"졸음번쩍껌 울트라파워","PRICE":"2340","UNIT":"1","":"2340","IMG":"졸음번쩍껌 울트라파워.jpg"},</v>
      </c>
    </row>
    <row r="147" spans="2:11" ht="14.4" customHeight="1">
      <c r="B147" s="64">
        <v>157</v>
      </c>
      <c r="C147" s="57" t="s">
        <v>12</v>
      </c>
      <c r="D147" s="58" t="s">
        <v>327</v>
      </c>
      <c r="E147" s="63" t="s">
        <v>286</v>
      </c>
      <c r="F147" s="60">
        <v>550</v>
      </c>
      <c r="G147" s="61">
        <v>10</v>
      </c>
      <c r="H147" s="62">
        <f t="shared" si="7"/>
        <v>5500</v>
      </c>
      <c r="I147" s="63" t="str">
        <f t="shared" si="8"/>
        <v>진라면.jpg</v>
      </c>
      <c r="J147" s="63"/>
      <c r="K147" s="53" t="str">
        <f t="shared" si="6"/>
        <v>{"ITM_SEQ":"157","TYPE":"식품","TYPE_DTL":"미정","ITM_NM":"진라면","PRICE":"550","UNIT":"10","":"5500","IMG":"진라면.jpg"},</v>
      </c>
    </row>
    <row r="148" spans="2:11" ht="14.4" customHeight="1">
      <c r="B148" s="64">
        <v>7</v>
      </c>
      <c r="C148" s="57" t="s">
        <v>6</v>
      </c>
      <c r="D148" s="57" t="s">
        <v>74</v>
      </c>
      <c r="E148" s="63" t="s">
        <v>197</v>
      </c>
      <c r="F148" s="60">
        <v>13280</v>
      </c>
      <c r="G148" s="61">
        <v>1</v>
      </c>
      <c r="H148" s="62">
        <f t="shared" si="7"/>
        <v>13280</v>
      </c>
      <c r="I148" s="63" t="str">
        <f t="shared" si="8"/>
        <v>질레트 프로쉴드 옐로우 면도날 4입.jpg</v>
      </c>
      <c r="J148" s="63"/>
      <c r="K148" s="53" t="str">
        <f t="shared" si="6"/>
        <v>{"ITM_SEQ":"7","TYPE":"기타","TYPE_DTL":"면도날","ITM_NM":"질레트 프로쉴드 옐로우 면도날 4입","PRICE":"13280","UNIT":"1","":"13280","IMG":"질레트 프로쉴드 옐로우 면도날 4입.jpg"},</v>
      </c>
    </row>
    <row r="149" spans="2:11" ht="14.4" customHeight="1">
      <c r="B149" s="64">
        <v>158</v>
      </c>
      <c r="C149" s="57" t="s">
        <v>12</v>
      </c>
      <c r="D149" s="58" t="s">
        <v>327</v>
      </c>
      <c r="E149" s="63" t="s">
        <v>287</v>
      </c>
      <c r="F149" s="60">
        <v>840</v>
      </c>
      <c r="G149" s="61">
        <v>10</v>
      </c>
      <c r="H149" s="62">
        <f t="shared" si="7"/>
        <v>8400</v>
      </c>
      <c r="I149" s="63" t="str">
        <f t="shared" si="8"/>
        <v>짜파게티.jpg</v>
      </c>
      <c r="J149" s="63"/>
      <c r="K149" s="53" t="str">
        <f t="shared" si="6"/>
        <v>{"ITM_SEQ":"158","TYPE":"식품","TYPE_DTL":"미정","ITM_NM":"짜파게티","PRICE":"840","UNIT":"10","":"8400","IMG":"짜파게티.jpg"},</v>
      </c>
    </row>
    <row r="150" spans="2:11" ht="14.4" customHeight="1">
      <c r="B150" s="64">
        <v>159</v>
      </c>
      <c r="C150" s="57" t="s">
        <v>12</v>
      </c>
      <c r="D150" s="58" t="s">
        <v>327</v>
      </c>
      <c r="E150" s="63" t="s">
        <v>288</v>
      </c>
      <c r="F150" s="60">
        <v>2390</v>
      </c>
      <c r="G150" s="61">
        <v>1</v>
      </c>
      <c r="H150" s="62">
        <f t="shared" si="7"/>
        <v>2390</v>
      </c>
      <c r="I150" s="63" t="str">
        <f t="shared" si="8"/>
        <v>짜파게티 만능소스.jpg</v>
      </c>
      <c r="J150" s="63"/>
      <c r="K150" s="53" t="str">
        <f t="shared" si="6"/>
        <v>{"ITM_SEQ":"159","TYPE":"식품","TYPE_DTL":"미정","ITM_NM":"짜파게티 만능소스","PRICE":"2390","UNIT":"1","":"2390","IMG":"짜파게티 만능소스.jpg"},</v>
      </c>
    </row>
    <row r="151" spans="2:11" ht="14.4" customHeight="1">
      <c r="B151" s="64">
        <v>160</v>
      </c>
      <c r="C151" s="57" t="s">
        <v>12</v>
      </c>
      <c r="D151" s="58" t="s">
        <v>327</v>
      </c>
      <c r="E151" s="63" t="s">
        <v>289</v>
      </c>
      <c r="F151" s="60">
        <v>4080</v>
      </c>
      <c r="G151" s="61">
        <v>1</v>
      </c>
      <c r="H151" s="62">
        <f t="shared" si="7"/>
        <v>4080</v>
      </c>
      <c r="I151" s="63" t="str">
        <f t="shared" si="8"/>
        <v>첵스초코.jpg</v>
      </c>
      <c r="J151" s="63"/>
      <c r="K151" s="53" t="str">
        <f t="shared" si="6"/>
        <v>{"ITM_SEQ":"160","TYPE":"식품","TYPE_DTL":"미정","ITM_NM":"첵스초코","PRICE":"4080","UNIT":"1","":"4080","IMG":"첵스초코.jpg"},</v>
      </c>
    </row>
    <row r="152" spans="2:11" ht="14.4" customHeight="1">
      <c r="B152" s="64">
        <v>161</v>
      </c>
      <c r="C152" s="57" t="s">
        <v>12</v>
      </c>
      <c r="D152" s="58" t="s">
        <v>327</v>
      </c>
      <c r="E152" s="63" t="s">
        <v>290</v>
      </c>
      <c r="F152" s="60">
        <v>2120</v>
      </c>
      <c r="G152" s="61">
        <v>1</v>
      </c>
      <c r="H152" s="62">
        <f t="shared" si="7"/>
        <v>2120</v>
      </c>
      <c r="I152" s="63" t="str">
        <f t="shared" si="8"/>
        <v>초코틴인틴.jpg</v>
      </c>
      <c r="J152" s="63"/>
      <c r="K152" s="53" t="str">
        <f t="shared" si="6"/>
        <v>{"ITM_SEQ":"161","TYPE":"식품","TYPE_DTL":"미정","ITM_NM":"초코틴인틴","PRICE":"2120","UNIT":"1","":"2120","IMG":"초코틴인틴.jpg"},</v>
      </c>
    </row>
    <row r="153" spans="2:11" ht="14.4" customHeight="1">
      <c r="B153" s="64">
        <v>162</v>
      </c>
      <c r="C153" s="57" t="s">
        <v>12</v>
      </c>
      <c r="D153" s="58" t="s">
        <v>327</v>
      </c>
      <c r="E153" s="63" t="s">
        <v>291</v>
      </c>
      <c r="F153" s="60">
        <v>2850</v>
      </c>
      <c r="G153" s="61">
        <v>1</v>
      </c>
      <c r="H153" s="62">
        <f t="shared" si="7"/>
        <v>2850</v>
      </c>
      <c r="I153" s="63" t="str">
        <f t="shared" si="8"/>
        <v>초코파이.jpg</v>
      </c>
      <c r="J153" s="63"/>
      <c r="K153" s="53" t="str">
        <f t="shared" si="6"/>
        <v>{"ITM_SEQ":"162","TYPE":"식품","TYPE_DTL":"미정","ITM_NM":"초코파이","PRICE":"2850","UNIT":"1","":"2850","IMG":"초코파이.jpg"},</v>
      </c>
    </row>
    <row r="154" spans="2:11" ht="14.4" customHeight="1">
      <c r="B154" s="64">
        <v>163</v>
      </c>
      <c r="C154" s="57" t="s">
        <v>12</v>
      </c>
      <c r="D154" s="58" t="s">
        <v>327</v>
      </c>
      <c r="E154" s="63" t="s">
        <v>292</v>
      </c>
      <c r="F154" s="60">
        <v>420</v>
      </c>
      <c r="G154" s="61">
        <v>30</v>
      </c>
      <c r="H154" s="62">
        <f t="shared" si="7"/>
        <v>12600</v>
      </c>
      <c r="I154" s="63" t="str">
        <f t="shared" si="8"/>
        <v>칠성사이다제로(250ml).jpg</v>
      </c>
      <c r="J154" s="63"/>
      <c r="K154" s="53" t="str">
        <f t="shared" ref="K154:K200" si="9">_xlfn.CONCAT("{""",$B$3,""":""",B154,""",""",$C$3,""":""",C154,""",""",$D$3,""":""",D154,""",""",$E$3,""":""",E154,""",""",$F$3,""":""",F154,""",""",$G$3,""":""",G154,""",""",$H$3,""":""",H154,""",""",$I$3,""":""",I154,"""},")</f>
        <v>{"ITM_SEQ":"163","TYPE":"식품","TYPE_DTL":"미정","ITM_NM":"칠성사이다제로(250ml)","PRICE":"420","UNIT":"30","":"12600","IMG":"칠성사이다제로(250ml).jpg"},</v>
      </c>
    </row>
    <row r="155" spans="2:11" ht="14.4" customHeight="1">
      <c r="B155" s="64">
        <v>164</v>
      </c>
      <c r="C155" s="57" t="s">
        <v>12</v>
      </c>
      <c r="D155" s="58" t="s">
        <v>327</v>
      </c>
      <c r="E155" s="63" t="s">
        <v>293</v>
      </c>
      <c r="F155" s="60">
        <v>770</v>
      </c>
      <c r="G155" s="61">
        <v>20</v>
      </c>
      <c r="H155" s="62">
        <f t="shared" si="7"/>
        <v>15400</v>
      </c>
      <c r="I155" s="63" t="str">
        <f t="shared" si="8"/>
        <v>칠성사이다제로(500ml).jpg</v>
      </c>
      <c r="J155" s="63"/>
      <c r="K155" s="53" t="str">
        <f t="shared" si="9"/>
        <v>{"ITM_SEQ":"164","TYPE":"식품","TYPE_DTL":"미정","ITM_NM":"칠성사이다제로(500ml)","PRICE":"770","UNIT":"20","":"15400","IMG":"칠성사이다제로(500ml).jpg"},</v>
      </c>
    </row>
    <row r="156" spans="2:11" ht="14.4" customHeight="1">
      <c r="B156" s="64">
        <v>165</v>
      </c>
      <c r="C156" s="57" t="s">
        <v>12</v>
      </c>
      <c r="D156" s="58" t="s">
        <v>327</v>
      </c>
      <c r="E156" s="63" t="s">
        <v>294</v>
      </c>
      <c r="F156" s="60">
        <v>640</v>
      </c>
      <c r="G156" s="61">
        <v>10</v>
      </c>
      <c r="H156" s="62">
        <f t="shared" si="7"/>
        <v>6400</v>
      </c>
      <c r="I156" s="63" t="str">
        <f t="shared" si="8"/>
        <v>칸타타아이스카라멜마키아토.jpg</v>
      </c>
      <c r="J156" s="63"/>
      <c r="K156" s="53" t="str">
        <f t="shared" si="9"/>
        <v>{"ITM_SEQ":"165","TYPE":"식품","TYPE_DTL":"미정","ITM_NM":"칸타타아이스카라멜마키아토","PRICE":"640","UNIT":"10","":"6400","IMG":"칸타타아이스카라멜마키아토.jpg"},</v>
      </c>
    </row>
    <row r="157" spans="2:11" ht="14.4" customHeight="1">
      <c r="B157" s="64">
        <v>1</v>
      </c>
      <c r="C157" s="57" t="s">
        <v>6</v>
      </c>
      <c r="D157" s="57" t="s">
        <v>7</v>
      </c>
      <c r="E157" s="63" t="s">
        <v>8</v>
      </c>
      <c r="F157" s="60">
        <v>2970</v>
      </c>
      <c r="G157" s="61">
        <v>1</v>
      </c>
      <c r="H157" s="62">
        <f t="shared" si="7"/>
        <v>2970</v>
      </c>
      <c r="I157" s="63" t="str">
        <f t="shared" si="8"/>
        <v>캘리포니아센트 스필프루프 코로나도.jpg</v>
      </c>
      <c r="J157" s="63" t="s">
        <v>9</v>
      </c>
      <c r="K157" s="53" t="str">
        <f t="shared" si="9"/>
        <v>{"ITM_SEQ":"1","TYPE":"기타","TYPE_DTL":"디퓨저","ITM_NM":"캘리포니아센트 스필프루프 코로나도","PRICE":"2970","UNIT":"1","":"2970","IMG":"캘리포니아센트 스필프루프 코로나도.jpg"},</v>
      </c>
    </row>
    <row r="158" spans="2:11" ht="14.4" customHeight="1">
      <c r="B158" s="64">
        <v>226</v>
      </c>
      <c r="C158" s="57" t="s">
        <v>6</v>
      </c>
      <c r="D158" s="58" t="s">
        <v>327</v>
      </c>
      <c r="E158" s="63" t="s">
        <v>295</v>
      </c>
      <c r="F158" s="60">
        <v>3450</v>
      </c>
      <c r="G158" s="61">
        <v>1</v>
      </c>
      <c r="H158" s="62">
        <f t="shared" si="7"/>
        <v>3450</v>
      </c>
      <c r="I158" s="63" t="str">
        <f t="shared" si="8"/>
        <v>케라시스 러블리앤로맨틱 퍼퓸샴푸.jpg</v>
      </c>
      <c r="J158" s="63"/>
      <c r="K158" s="53" t="str">
        <f t="shared" si="9"/>
        <v>{"ITM_SEQ":"226","TYPE":"기타","TYPE_DTL":"미정","ITM_NM":"케라시스 러블리앤로맨틱 퍼퓸샴푸","PRICE":"3450","UNIT":"1","":"3450","IMG":"케라시스 러블리앤로맨틱 퍼퓸샴푸.jpg"},</v>
      </c>
    </row>
    <row r="159" spans="2:11" ht="14.4" customHeight="1">
      <c r="B159" s="64">
        <v>227</v>
      </c>
      <c r="C159" s="57" t="s">
        <v>6</v>
      </c>
      <c r="D159" s="58" t="s">
        <v>327</v>
      </c>
      <c r="E159" s="63" t="s">
        <v>296</v>
      </c>
      <c r="F159" s="60">
        <v>14500</v>
      </c>
      <c r="G159" s="61">
        <v>1</v>
      </c>
      <c r="H159" s="62">
        <f t="shared" si="7"/>
        <v>14500</v>
      </c>
      <c r="I159" s="63" t="str">
        <f t="shared" si="8"/>
        <v>코오롱 런닝.jpg</v>
      </c>
      <c r="J159" s="63"/>
      <c r="K159" s="53" t="str">
        <f t="shared" si="9"/>
        <v>{"ITM_SEQ":"227","TYPE":"기타","TYPE_DTL":"미정","ITM_NM":"코오롱 런닝","PRICE":"14500","UNIT":"1","":"14500","IMG":"코오롱 런닝.jpg"},</v>
      </c>
    </row>
    <row r="160" spans="2:11" ht="14.4" customHeight="1">
      <c r="B160" s="64">
        <v>228</v>
      </c>
      <c r="C160" s="57" t="s">
        <v>6</v>
      </c>
      <c r="D160" s="58" t="s">
        <v>327</v>
      </c>
      <c r="E160" s="63" t="s">
        <v>297</v>
      </c>
      <c r="F160" s="60">
        <v>12560</v>
      </c>
      <c r="G160" s="61">
        <v>1</v>
      </c>
      <c r="H160" s="62">
        <f t="shared" si="7"/>
        <v>12560</v>
      </c>
      <c r="I160" s="63" t="str">
        <f t="shared" si="8"/>
        <v>코오롱 스포츠 반팔 95.jpg</v>
      </c>
      <c r="J160" s="63"/>
      <c r="K160" s="53" t="str">
        <f t="shared" si="9"/>
        <v>{"ITM_SEQ":"228","TYPE":"기타","TYPE_DTL":"미정","ITM_NM":"코오롱 스포츠 반팔 95","PRICE":"12560","UNIT":"1","":"12560","IMG":"코오롱 스포츠 반팔 95.jpg"},</v>
      </c>
    </row>
    <row r="161" spans="2:11" ht="14.4" customHeight="1">
      <c r="B161" s="64">
        <v>14</v>
      </c>
      <c r="C161" s="57" t="s">
        <v>12</v>
      </c>
      <c r="D161" s="57" t="s">
        <v>13</v>
      </c>
      <c r="E161" s="63" t="s">
        <v>198</v>
      </c>
      <c r="F161" s="60">
        <v>6040</v>
      </c>
      <c r="G161" s="61">
        <v>1</v>
      </c>
      <c r="H161" s="62">
        <f t="shared" si="7"/>
        <v>6040</v>
      </c>
      <c r="I161" s="63" t="str">
        <f t="shared" si="8"/>
        <v>코주부 CLASSIC 육포 HOT &amp; SPICY 130g.jpg</v>
      </c>
      <c r="J161" s="63"/>
      <c r="K161" s="53" t="str">
        <f t="shared" si="9"/>
        <v>{"ITM_SEQ":"14","TYPE":"식품","TYPE_DTL":"과자","ITM_NM":"코주부 CLASSIC 육포 HOT &amp; SPICY 130g","PRICE":"6040","UNIT":"1","":"6040","IMG":"코주부 CLASSIC 육포 HOT &amp; SPICY 130g.jpg"},</v>
      </c>
    </row>
    <row r="162" spans="2:11" ht="14.4" customHeight="1">
      <c r="B162" s="64">
        <v>13</v>
      </c>
      <c r="C162" s="57" t="s">
        <v>12</v>
      </c>
      <c r="D162" s="57" t="s">
        <v>13</v>
      </c>
      <c r="E162" s="63" t="s">
        <v>199</v>
      </c>
      <c r="F162" s="60">
        <v>7130</v>
      </c>
      <c r="G162" s="61">
        <v>1</v>
      </c>
      <c r="H162" s="62">
        <f t="shared" si="7"/>
        <v>7130</v>
      </c>
      <c r="I162" s="63" t="str">
        <f t="shared" si="8"/>
        <v>코주부 CLASSIC 육포 Mild 130g.jpg</v>
      </c>
      <c r="J162" s="63"/>
      <c r="K162" s="53" t="str">
        <f t="shared" si="9"/>
        <v>{"ITM_SEQ":"13","TYPE":"식품","TYPE_DTL":"과자","ITM_NM":"코주부 CLASSIC 육포 Mild 130g","PRICE":"7130","UNIT":"1","":"7130","IMG":"코주부 CLASSIC 육포 Mild 130g.jpg"},</v>
      </c>
    </row>
    <row r="163" spans="2:11" ht="14.4" customHeight="1">
      <c r="B163" s="64">
        <v>168</v>
      </c>
      <c r="C163" s="57" t="s">
        <v>12</v>
      </c>
      <c r="D163" s="58" t="s">
        <v>327</v>
      </c>
      <c r="E163" s="63" t="s">
        <v>298</v>
      </c>
      <c r="F163" s="60">
        <v>900</v>
      </c>
      <c r="G163" s="61">
        <v>24</v>
      </c>
      <c r="H163" s="62">
        <f t="shared" si="7"/>
        <v>21600</v>
      </c>
      <c r="I163" s="63" t="str">
        <f t="shared" si="8"/>
        <v>콘트라베이스디카페인블랙.jpg</v>
      </c>
      <c r="J163" s="63"/>
      <c r="K163" s="53" t="str">
        <f t="shared" si="9"/>
        <v>{"ITM_SEQ":"168","TYPE":"식품","TYPE_DTL":"미정","ITM_NM":"콘트라베이스디카페인블랙","PRICE":"900","UNIT":"24","":"21600","IMG":"콘트라베이스디카페인블랙.jpg"},</v>
      </c>
    </row>
    <row r="164" spans="2:11" ht="14.4" customHeight="1">
      <c r="B164" s="64">
        <v>169</v>
      </c>
      <c r="C164" s="57" t="s">
        <v>12</v>
      </c>
      <c r="D164" s="58" t="s">
        <v>327</v>
      </c>
      <c r="E164" s="63" t="s">
        <v>299</v>
      </c>
      <c r="F164" s="60">
        <v>1490</v>
      </c>
      <c r="G164" s="61">
        <v>5</v>
      </c>
      <c r="H164" s="62">
        <f t="shared" si="7"/>
        <v>7450</v>
      </c>
      <c r="I164" s="63" t="str">
        <f t="shared" si="8"/>
        <v>쿠크다스케이크.jpg</v>
      </c>
      <c r="J164" s="63"/>
      <c r="K164" s="53" t="str">
        <f t="shared" si="9"/>
        <v>{"ITM_SEQ":"169","TYPE":"식품","TYPE_DTL":"미정","ITM_NM":"쿠크다스케이크","PRICE":"1490","UNIT":"5","":"7450","IMG":"쿠크다스케이크.jpg"},</v>
      </c>
    </row>
    <row r="165" spans="2:11" ht="14.4" customHeight="1">
      <c r="B165" s="64">
        <v>36</v>
      </c>
      <c r="C165" s="57" t="s">
        <v>12</v>
      </c>
      <c r="D165" s="57" t="s">
        <v>118</v>
      </c>
      <c r="E165" s="63" t="s">
        <v>200</v>
      </c>
      <c r="F165" s="60">
        <v>1390</v>
      </c>
      <c r="G165" s="61">
        <v>10</v>
      </c>
      <c r="H165" s="62">
        <f t="shared" si="7"/>
        <v>13900</v>
      </c>
      <c r="I165" s="63" t="str">
        <f t="shared" si="8"/>
        <v>퀘이커 마시는 오트밀 단백질, 80g.jpg</v>
      </c>
      <c r="J165" s="63"/>
      <c r="K165" s="53" t="str">
        <f t="shared" si="9"/>
        <v>{"ITM_SEQ":"36","TYPE":"식품","TYPE_DTL":"쉐이크","ITM_NM":"퀘이커 마시는 오트밀 단백질, 80g","PRICE":"1390","UNIT":"10","":"13900","IMG":"퀘이커 마시는 오트밀 단백질, 80g.jpg"},</v>
      </c>
    </row>
    <row r="166" spans="2:11" ht="14.4" customHeight="1">
      <c r="B166" s="64">
        <v>35</v>
      </c>
      <c r="C166" s="57" t="s">
        <v>12</v>
      </c>
      <c r="D166" s="57" t="s">
        <v>118</v>
      </c>
      <c r="E166" s="63" t="s">
        <v>201</v>
      </c>
      <c r="F166" s="60">
        <v>940</v>
      </c>
      <c r="G166" s="61">
        <v>10</v>
      </c>
      <c r="H166" s="62">
        <f t="shared" si="7"/>
        <v>9400</v>
      </c>
      <c r="I166" s="63" t="str">
        <f t="shared" si="8"/>
        <v>퀘이커 마시는 오트밀 오트&amp;우리쌀, 50g.jpg</v>
      </c>
      <c r="J166" s="63"/>
      <c r="K166" s="53" t="str">
        <f t="shared" si="9"/>
        <v>{"ITM_SEQ":"35","TYPE":"식품","TYPE_DTL":"쉐이크","ITM_NM":"퀘이커 마시는 오트밀 오트&amp;우리쌀, 50g","PRICE":"940","UNIT":"10","":"9400","IMG":"퀘이커 마시는 오트밀 오트&amp;우리쌀, 50g.jpg"},</v>
      </c>
    </row>
    <row r="167" spans="2:11" ht="14.4" customHeight="1">
      <c r="B167" s="64">
        <v>37</v>
      </c>
      <c r="C167" s="57" t="s">
        <v>12</v>
      </c>
      <c r="D167" s="57" t="s">
        <v>118</v>
      </c>
      <c r="E167" s="63" t="s">
        <v>202</v>
      </c>
      <c r="F167" s="60">
        <v>1080</v>
      </c>
      <c r="G167" s="61">
        <v>10</v>
      </c>
      <c r="H167" s="62">
        <f t="shared" si="7"/>
        <v>10800</v>
      </c>
      <c r="I167" s="63" t="str">
        <f t="shared" si="8"/>
        <v>퀘이커 마시는 오트밀 찰옥수수, 50g.jpg</v>
      </c>
      <c r="J167" s="63"/>
      <c r="K167" s="53" t="str">
        <f t="shared" si="9"/>
        <v>{"ITM_SEQ":"37","TYPE":"식품","TYPE_DTL":"쉐이크","ITM_NM":"퀘이커 마시는 오트밀 찰옥수수, 50g","PRICE":"1080","UNIT":"10","":"10800","IMG":"퀘이커 마시는 오트밀 찰옥수수, 50g.jpg"},</v>
      </c>
    </row>
    <row r="168" spans="2:11" ht="14.4" customHeight="1">
      <c r="B168" s="64">
        <v>34</v>
      </c>
      <c r="C168" s="57" t="s">
        <v>12</v>
      </c>
      <c r="D168" s="57" t="s">
        <v>118</v>
      </c>
      <c r="E168" s="63" t="s">
        <v>203</v>
      </c>
      <c r="F168" s="60">
        <v>960</v>
      </c>
      <c r="G168" s="61">
        <v>10</v>
      </c>
      <c r="H168" s="62">
        <f t="shared" si="7"/>
        <v>9600</v>
      </c>
      <c r="I168" s="63" t="str">
        <f t="shared" si="8"/>
        <v>퀘이커 마시는오트밀 오트&amp;그레인, 50g.jpg</v>
      </c>
      <c r="J168" s="63"/>
      <c r="K168" s="53" t="str">
        <f t="shared" si="9"/>
        <v>{"ITM_SEQ":"34","TYPE":"식품","TYPE_DTL":"쉐이크","ITM_NM":"퀘이커 마시는오트밀 오트&amp;그레인, 50g","PRICE":"960","UNIT":"10","":"9600","IMG":"퀘이커 마시는오트밀 오트&amp;그레인, 50g.jpg"},</v>
      </c>
    </row>
    <row r="169" spans="2:11" ht="14.4" customHeight="1">
      <c r="B169" s="64">
        <v>173</v>
      </c>
      <c r="C169" s="57" t="s">
        <v>12</v>
      </c>
      <c r="D169" s="58" t="s">
        <v>327</v>
      </c>
      <c r="E169" s="63" t="s">
        <v>300</v>
      </c>
      <c r="F169" s="60">
        <v>1830</v>
      </c>
      <c r="G169" s="61">
        <v>5</v>
      </c>
      <c r="H169" s="62">
        <f t="shared" si="7"/>
        <v>9150</v>
      </c>
      <c r="I169" s="63" t="str">
        <f t="shared" si="8"/>
        <v>크라운산도딸기.jpg</v>
      </c>
      <c r="J169" s="63"/>
      <c r="K169" s="53" t="str">
        <f t="shared" si="9"/>
        <v>{"ITM_SEQ":"173","TYPE":"식품","TYPE_DTL":"미정","ITM_NM":"크라운산도딸기","PRICE":"1830","UNIT":"5","":"9150","IMG":"크라운산도딸기.jpg"},</v>
      </c>
    </row>
    <row r="170" spans="2:11" ht="14.4" customHeight="1">
      <c r="B170" s="64">
        <v>174</v>
      </c>
      <c r="C170" s="57" t="s">
        <v>12</v>
      </c>
      <c r="D170" s="58" t="s">
        <v>327</v>
      </c>
      <c r="E170" s="63" t="s">
        <v>301</v>
      </c>
      <c r="F170" s="60">
        <v>680</v>
      </c>
      <c r="G170" s="61">
        <v>10</v>
      </c>
      <c r="H170" s="62">
        <f t="shared" si="7"/>
        <v>6800</v>
      </c>
      <c r="I170" s="63" t="str">
        <f t="shared" si="8"/>
        <v>크런키 빼빼로.jpg</v>
      </c>
      <c r="J170" s="63"/>
      <c r="K170" s="53" t="str">
        <f t="shared" si="9"/>
        <v>{"ITM_SEQ":"174","TYPE":"식품","TYPE_DTL":"미정","ITM_NM":"크런키 빼빼로","PRICE":"680","UNIT":"10","":"6800","IMG":"크런키 빼빼로.jpg"},</v>
      </c>
    </row>
    <row r="171" spans="2:11" ht="14.4" customHeight="1">
      <c r="B171" s="64">
        <v>33</v>
      </c>
      <c r="C171" s="57" t="s">
        <v>12</v>
      </c>
      <c r="D171" s="57" t="s">
        <v>113</v>
      </c>
      <c r="E171" s="63" t="s">
        <v>116</v>
      </c>
      <c r="F171" s="60">
        <v>660</v>
      </c>
      <c r="G171" s="61">
        <v>12</v>
      </c>
      <c r="H171" s="62">
        <f t="shared" si="7"/>
        <v>7920</v>
      </c>
      <c r="I171" s="63" t="str">
        <f t="shared" si="8"/>
        <v>키스틱.jpg</v>
      </c>
      <c r="J171" s="63"/>
      <c r="K171" s="53" t="str">
        <f t="shared" si="9"/>
        <v>{"ITM_SEQ":"33","TYPE":"식품","TYPE_DTL":"소세지","ITM_NM":"키스틱","PRICE":"660","UNIT":"12","":"7920","IMG":"키스틱.jpg"},</v>
      </c>
    </row>
    <row r="172" spans="2:11" ht="14.4" customHeight="1">
      <c r="B172" s="64">
        <v>175</v>
      </c>
      <c r="C172" s="57" t="s">
        <v>12</v>
      </c>
      <c r="D172" s="58" t="s">
        <v>327</v>
      </c>
      <c r="E172" s="63" t="s">
        <v>302</v>
      </c>
      <c r="F172" s="60">
        <v>410</v>
      </c>
      <c r="G172" s="61">
        <v>15</v>
      </c>
      <c r="H172" s="62">
        <f t="shared" si="7"/>
        <v>6150</v>
      </c>
      <c r="I172" s="63" t="str">
        <f t="shared" si="8"/>
        <v>키캣 4핑거.jpg</v>
      </c>
      <c r="J172" s="63"/>
      <c r="K172" s="53" t="str">
        <f t="shared" si="9"/>
        <v>{"ITM_SEQ":"175","TYPE":"식품","TYPE_DTL":"미정","ITM_NM":"키캣 4핑거","PRICE":"410","UNIT":"15","":"6150","IMG":"키캣 4핑거.jpg"},</v>
      </c>
    </row>
    <row r="173" spans="2:11" ht="14.4" customHeight="1">
      <c r="B173" s="64">
        <v>12</v>
      </c>
      <c r="C173" s="57" t="s">
        <v>12</v>
      </c>
      <c r="D173" s="57" t="s">
        <v>13</v>
      </c>
      <c r="E173" s="63" t="s">
        <v>204</v>
      </c>
      <c r="F173" s="60">
        <v>450</v>
      </c>
      <c r="G173" s="61">
        <v>15</v>
      </c>
      <c r="H173" s="62">
        <f t="shared" si="7"/>
        <v>6750</v>
      </c>
      <c r="I173" s="63" t="str">
        <f t="shared" si="8"/>
        <v>키커바.jpg</v>
      </c>
      <c r="J173" s="63"/>
      <c r="K173" s="53" t="str">
        <f t="shared" si="9"/>
        <v>{"ITM_SEQ":"12","TYPE":"식품","TYPE_DTL":"과자","ITM_NM":"키커바","PRICE":"450","UNIT":"15","":"6750","IMG":"키커바.jpg"},</v>
      </c>
    </row>
    <row r="174" spans="2:11" ht="14.4" customHeight="1">
      <c r="B174" s="64">
        <v>87</v>
      </c>
      <c r="C174" s="57" t="s">
        <v>18</v>
      </c>
      <c r="D174" s="58" t="s">
        <v>327</v>
      </c>
      <c r="E174" s="63" t="s">
        <v>303</v>
      </c>
      <c r="F174" s="60">
        <v>4320</v>
      </c>
      <c r="G174" s="61">
        <v>1</v>
      </c>
      <c r="H174" s="62">
        <f t="shared" si="7"/>
        <v>4320</v>
      </c>
      <c r="I174" s="63" t="str">
        <f t="shared" si="8"/>
        <v>탁터지 레드 블레미쉬 클리어 크림.jpg</v>
      </c>
      <c r="J174" s="63"/>
      <c r="K174" s="53" t="str">
        <f t="shared" si="9"/>
        <v>{"ITM_SEQ":"87","TYPE":"화장품","TYPE_DTL":"미정","ITM_NM":"탁터지 레드 블레미쉬 클리어 크림","PRICE":"4320","UNIT":"1","":"4320","IMG":"탁터지 레드 블레미쉬 클리어 크림.jpg"},</v>
      </c>
    </row>
    <row r="175" spans="2:11" ht="14.4" customHeight="1">
      <c r="B175" s="64">
        <v>177</v>
      </c>
      <c r="C175" s="57" t="s">
        <v>12</v>
      </c>
      <c r="D175" s="58" t="s">
        <v>327</v>
      </c>
      <c r="E175" s="63" t="s">
        <v>304</v>
      </c>
      <c r="F175" s="60">
        <v>4000</v>
      </c>
      <c r="G175" s="61">
        <v>1</v>
      </c>
      <c r="H175" s="62">
        <f t="shared" si="7"/>
        <v>4000</v>
      </c>
      <c r="I175" s="63" t="str">
        <f t="shared" si="8"/>
        <v>탑플롯젤리 망고맛.jpg</v>
      </c>
      <c r="J175" s="63"/>
      <c r="K175" s="53" t="str">
        <f t="shared" si="9"/>
        <v>{"ITM_SEQ":"177","TYPE":"식품","TYPE_DTL":"미정","ITM_NM":"탑플롯젤리 망고맛","PRICE":"4000","UNIT":"1","":"4000","IMG":"탑플롯젤리 망고맛.jpg"},</v>
      </c>
    </row>
    <row r="176" spans="2:11" ht="14.4" customHeight="1">
      <c r="B176" s="64">
        <v>230</v>
      </c>
      <c r="C176" s="57" t="s">
        <v>6</v>
      </c>
      <c r="D176" s="58" t="s">
        <v>327</v>
      </c>
      <c r="E176" s="63" t="s">
        <v>305</v>
      </c>
      <c r="F176" s="60">
        <v>8900</v>
      </c>
      <c r="G176" s="61">
        <v>1</v>
      </c>
      <c r="H176" s="62">
        <f t="shared" si="7"/>
        <v>8900</v>
      </c>
      <c r="I176" s="63" t="str">
        <f t="shared" si="8"/>
        <v>테크 특유취 제거 2.7L(일반용).jpg</v>
      </c>
      <c r="J176" s="63"/>
      <c r="K176" s="53" t="str">
        <f t="shared" si="9"/>
        <v>{"ITM_SEQ":"230","TYPE":"기타","TYPE_DTL":"미정","ITM_NM":"테크 특유취 제거 2.7L(일반용)","PRICE":"8900","UNIT":"1","":"8900","IMG":"테크 특유취 제거 2.7L(일반용).jpg"},</v>
      </c>
    </row>
    <row r="177" spans="2:11" ht="14.4" customHeight="1">
      <c r="B177" s="64">
        <v>178</v>
      </c>
      <c r="C177" s="57" t="s">
        <v>12</v>
      </c>
      <c r="D177" s="58" t="s">
        <v>327</v>
      </c>
      <c r="E177" s="63" t="s">
        <v>306</v>
      </c>
      <c r="F177" s="60">
        <v>10420</v>
      </c>
      <c r="G177" s="61">
        <v>1</v>
      </c>
      <c r="H177" s="62">
        <f t="shared" si="7"/>
        <v>10420</v>
      </c>
      <c r="I177" s="63" t="str">
        <f t="shared" si="8"/>
        <v>트러플오일.jpg</v>
      </c>
      <c r="J177" s="63"/>
      <c r="K177" s="53" t="str">
        <f t="shared" si="9"/>
        <v>{"ITM_SEQ":"178","TYPE":"식품","TYPE_DTL":"미정","ITM_NM":"트러플오일","PRICE":"10420","UNIT":"1","":"10420","IMG":"트러플오일.jpg"},</v>
      </c>
    </row>
    <row r="178" spans="2:11" ht="14.4" customHeight="1">
      <c r="B178" s="64">
        <v>231</v>
      </c>
      <c r="C178" s="57" t="s">
        <v>6</v>
      </c>
      <c r="D178" s="58" t="s">
        <v>327</v>
      </c>
      <c r="E178" s="63" t="s">
        <v>307</v>
      </c>
      <c r="F178" s="60">
        <v>4480</v>
      </c>
      <c r="G178" s="61">
        <v>1</v>
      </c>
      <c r="H178" s="62">
        <f t="shared" si="7"/>
        <v>4480</v>
      </c>
      <c r="I178" s="63" t="str">
        <f t="shared" si="8"/>
        <v>티트리 퓨리파잉 토닉 100ml.jpg</v>
      </c>
      <c r="J178" s="63"/>
      <c r="K178" s="53" t="str">
        <f t="shared" si="9"/>
        <v>{"ITM_SEQ":"231","TYPE":"기타","TYPE_DTL":"미정","ITM_NM":"티트리 퓨리파잉 토닉 100ml","PRICE":"4480","UNIT":"1","":"4480","IMG":"티트리 퓨리파잉 토닉 100ml.jpg"},</v>
      </c>
    </row>
    <row r="179" spans="2:11" ht="14.4" customHeight="1">
      <c r="B179" s="64">
        <v>179</v>
      </c>
      <c r="C179" s="57" t="s">
        <v>12</v>
      </c>
      <c r="D179" s="58" t="s">
        <v>327</v>
      </c>
      <c r="E179" s="63" t="s">
        <v>308</v>
      </c>
      <c r="F179" s="60">
        <v>2120</v>
      </c>
      <c r="G179" s="61">
        <v>1</v>
      </c>
      <c r="H179" s="62">
        <f t="shared" si="7"/>
        <v>2120</v>
      </c>
      <c r="I179" s="63" t="str">
        <f t="shared" si="8"/>
        <v>틴인틴.jpg</v>
      </c>
      <c r="J179" s="63"/>
      <c r="K179" s="53" t="str">
        <f t="shared" si="9"/>
        <v>{"ITM_SEQ":"179","TYPE":"식품","TYPE_DTL":"미정","ITM_NM":"틴인틴","PRICE":"2120","UNIT":"1","":"2120","IMG":"틴인틴.jpg"},</v>
      </c>
    </row>
    <row r="180" spans="2:11" ht="14.4" customHeight="1">
      <c r="B180" s="64">
        <v>88</v>
      </c>
      <c r="C180" s="57" t="s">
        <v>18</v>
      </c>
      <c r="D180" s="58" t="s">
        <v>327</v>
      </c>
      <c r="E180" s="63" t="s">
        <v>309</v>
      </c>
      <c r="F180" s="60">
        <v>4900</v>
      </c>
      <c r="G180" s="61">
        <v>1</v>
      </c>
      <c r="H180" s="62">
        <f t="shared" si="7"/>
        <v>4900</v>
      </c>
      <c r="I180" s="63" t="str">
        <f t="shared" si="8"/>
        <v>퍼팩트 휩 페이셜 워시 에이.jpg</v>
      </c>
      <c r="J180" s="63"/>
      <c r="K180" s="53" t="str">
        <f t="shared" si="9"/>
        <v>{"ITM_SEQ":"88","TYPE":"화장품","TYPE_DTL":"미정","ITM_NM":"퍼팩트 휩 페이셜 워시 에이","PRICE":"4900","UNIT":"1","":"4900","IMG":"퍼팩트 휩 페이셜 워시 에이.jpg"},</v>
      </c>
    </row>
    <row r="181" spans="2:11" ht="14.4" customHeight="1">
      <c r="B181" s="64">
        <v>15</v>
      </c>
      <c r="C181" s="57" t="s">
        <v>12</v>
      </c>
      <c r="D181" s="57" t="s">
        <v>14</v>
      </c>
      <c r="E181" s="63" t="s">
        <v>205</v>
      </c>
      <c r="F181" s="60">
        <v>680</v>
      </c>
      <c r="G181" s="61">
        <v>20</v>
      </c>
      <c r="H181" s="62">
        <f t="shared" si="7"/>
        <v>13600</v>
      </c>
      <c r="I181" s="63" t="str">
        <f t="shared" si="8"/>
        <v>펩시제로슈거라임 500ml.jpg</v>
      </c>
      <c r="J181" s="63"/>
      <c r="K181" s="53" t="str">
        <f t="shared" si="9"/>
        <v>{"ITM_SEQ":"15","TYPE":"식품","TYPE_DTL":"음료","ITM_NM":"펩시제로슈거라임 500ml","PRICE":"680","UNIT":"20","":"13600","IMG":"펩시제로슈거라임 500ml.jpg"},</v>
      </c>
    </row>
    <row r="182" spans="2:11" ht="14.4" customHeight="1">
      <c r="B182" s="64">
        <v>180</v>
      </c>
      <c r="C182" s="57" t="s">
        <v>12</v>
      </c>
      <c r="D182" s="58" t="s">
        <v>327</v>
      </c>
      <c r="E182" s="63" t="s">
        <v>86</v>
      </c>
      <c r="F182" s="60">
        <v>720</v>
      </c>
      <c r="G182" s="61">
        <v>20</v>
      </c>
      <c r="H182" s="62">
        <f t="shared" si="7"/>
        <v>14400</v>
      </c>
      <c r="I182" s="63" t="str">
        <f t="shared" si="8"/>
        <v>펩시제로슈거라임 500ml.jpg</v>
      </c>
      <c r="J182" s="63"/>
      <c r="K182" s="53" t="str">
        <f t="shared" si="9"/>
        <v>{"ITM_SEQ":"180","TYPE":"식품","TYPE_DTL":"미정","ITM_NM":"펩시제로슈거라임 500ml","PRICE":"720","UNIT":"20","":"14400","IMG":"펩시제로슈거라임 500ml.jpg"},</v>
      </c>
    </row>
    <row r="183" spans="2:11" ht="14.4" customHeight="1">
      <c r="B183" s="64">
        <v>181</v>
      </c>
      <c r="C183" s="57" t="s">
        <v>12</v>
      </c>
      <c r="D183" s="58" t="s">
        <v>327</v>
      </c>
      <c r="E183" s="63" t="s">
        <v>310</v>
      </c>
      <c r="F183" s="60">
        <v>1250</v>
      </c>
      <c r="G183" s="61">
        <v>12</v>
      </c>
      <c r="H183" s="62">
        <f t="shared" si="7"/>
        <v>15000</v>
      </c>
      <c r="I183" s="63" t="str">
        <f t="shared" si="8"/>
        <v>프링글스.jpg</v>
      </c>
      <c r="J183" s="63"/>
      <c r="K183" s="53" t="str">
        <f t="shared" si="9"/>
        <v>{"ITM_SEQ":"181","TYPE":"식품","TYPE_DTL":"미정","ITM_NM":"프링글스","PRICE":"1250","UNIT":"12","":"15000","IMG":"프링글스.jpg"},</v>
      </c>
    </row>
    <row r="184" spans="2:11" ht="14.4" customHeight="1">
      <c r="B184" s="64">
        <v>9</v>
      </c>
      <c r="C184" s="57" t="s">
        <v>12</v>
      </c>
      <c r="D184" s="57" t="s">
        <v>13</v>
      </c>
      <c r="E184" s="63" t="s">
        <v>206</v>
      </c>
      <c r="F184" s="60">
        <v>1400</v>
      </c>
      <c r="G184" s="61">
        <v>12</v>
      </c>
      <c r="H184" s="62">
        <f t="shared" si="7"/>
        <v>16800</v>
      </c>
      <c r="I184" s="63" t="str">
        <f t="shared" si="8"/>
        <v>프링글스 리치치즈갈릭.jpg</v>
      </c>
      <c r="J184" s="63"/>
      <c r="K184" s="53" t="str">
        <f t="shared" si="9"/>
        <v>{"ITM_SEQ":"9","TYPE":"식품","TYPE_DTL":"과자","ITM_NM":"프링글스 리치치즈갈릭","PRICE":"1400","UNIT":"12","":"16800","IMG":"프링글스 리치치즈갈릭.jpg"},</v>
      </c>
    </row>
    <row r="185" spans="2:11" ht="14.4" customHeight="1">
      <c r="B185" s="64">
        <v>182</v>
      </c>
      <c r="C185" s="57" t="s">
        <v>12</v>
      </c>
      <c r="D185" s="58" t="s">
        <v>327</v>
      </c>
      <c r="E185" s="63" t="s">
        <v>79</v>
      </c>
      <c r="F185" s="60">
        <v>1400</v>
      </c>
      <c r="G185" s="61">
        <v>12</v>
      </c>
      <c r="H185" s="62">
        <f t="shared" si="7"/>
        <v>16800</v>
      </c>
      <c r="I185" s="63" t="str">
        <f t="shared" si="8"/>
        <v>프링글스 리치치즈갈릭.jpg</v>
      </c>
      <c r="J185" s="63"/>
      <c r="K185" s="53" t="str">
        <f t="shared" si="9"/>
        <v>{"ITM_SEQ":"182","TYPE":"식품","TYPE_DTL":"미정","ITM_NM":"프링글스 리치치즈갈릭","PRICE":"1400","UNIT":"12","":"16800","IMG":"프링글스 리치치즈갈릭.jpg"},</v>
      </c>
    </row>
    <row r="186" spans="2:11" ht="14.4" customHeight="1">
      <c r="B186" s="64">
        <v>10</v>
      </c>
      <c r="C186" s="57" t="s">
        <v>12</v>
      </c>
      <c r="D186" s="57" t="s">
        <v>13</v>
      </c>
      <c r="E186" s="63" t="s">
        <v>80</v>
      </c>
      <c r="F186" s="72">
        <v>1250</v>
      </c>
      <c r="G186" s="61">
        <v>12</v>
      </c>
      <c r="H186" s="62">
        <f t="shared" si="7"/>
        <v>15000</v>
      </c>
      <c r="I186" s="63" t="str">
        <f t="shared" si="8"/>
        <v>프링글스 버터카라멜.jpg</v>
      </c>
      <c r="J186" s="63"/>
      <c r="K186" s="53" t="str">
        <f t="shared" si="9"/>
        <v>{"ITM_SEQ":"10","TYPE":"식품","TYPE_DTL":"과자","ITM_NM":"프링글스 버터카라멜","PRICE":"1250","UNIT":"12","":"15000","IMG":"프링글스 버터카라멜.jpg"},</v>
      </c>
    </row>
    <row r="187" spans="2:11" ht="14.4" customHeight="1">
      <c r="B187" s="64">
        <v>183</v>
      </c>
      <c r="C187" s="57" t="s">
        <v>12</v>
      </c>
      <c r="D187" s="58" t="s">
        <v>327</v>
      </c>
      <c r="E187" s="63" t="s">
        <v>80</v>
      </c>
      <c r="F187" s="60">
        <v>1250</v>
      </c>
      <c r="G187" s="61">
        <v>12</v>
      </c>
      <c r="H187" s="62">
        <f t="shared" si="7"/>
        <v>15000</v>
      </c>
      <c r="I187" s="63" t="str">
        <f t="shared" si="8"/>
        <v>프링글스 버터카라멜.jpg</v>
      </c>
      <c r="J187" s="63"/>
      <c r="K187" s="53" t="str">
        <f t="shared" si="9"/>
        <v>{"ITM_SEQ":"183","TYPE":"식품","TYPE_DTL":"미정","ITM_NM":"프링글스 버터카라멜","PRICE":"1250","UNIT":"12","":"15000","IMG":"프링글스 버터카라멜.jpg"},</v>
      </c>
    </row>
    <row r="188" spans="2:11" ht="14.4" customHeight="1">
      <c r="B188" s="64">
        <v>184</v>
      </c>
      <c r="C188" s="57" t="s">
        <v>12</v>
      </c>
      <c r="D188" s="58" t="s">
        <v>327</v>
      </c>
      <c r="E188" s="63" t="s">
        <v>311</v>
      </c>
      <c r="F188" s="60">
        <v>1250</v>
      </c>
      <c r="G188" s="61">
        <v>12</v>
      </c>
      <c r="H188" s="62">
        <f t="shared" si="7"/>
        <v>15000</v>
      </c>
      <c r="I188" s="63" t="str">
        <f t="shared" si="8"/>
        <v>프링글스 양파맛.jpg</v>
      </c>
      <c r="J188" s="63"/>
      <c r="K188" s="53" t="str">
        <f t="shared" si="9"/>
        <v>{"ITM_SEQ":"184","TYPE":"식품","TYPE_DTL":"미정","ITM_NM":"프링글스 양파맛","PRICE":"1250","UNIT":"12","":"15000","IMG":"프링글스 양파맛.jpg"},</v>
      </c>
    </row>
    <row r="189" spans="2:11" ht="14.4" customHeight="1">
      <c r="B189" s="64">
        <v>11</v>
      </c>
      <c r="C189" s="57" t="s">
        <v>12</v>
      </c>
      <c r="D189" s="57" t="s">
        <v>13</v>
      </c>
      <c r="E189" s="63" t="s">
        <v>82</v>
      </c>
      <c r="F189" s="72">
        <v>1250</v>
      </c>
      <c r="G189" s="61">
        <v>12</v>
      </c>
      <c r="H189" s="62">
        <f t="shared" si="7"/>
        <v>15000</v>
      </c>
      <c r="I189" s="63" t="str">
        <f t="shared" si="8"/>
        <v>프링글스 핫앤스파이시.jpg</v>
      </c>
      <c r="J189" s="63"/>
      <c r="K189" s="53" t="str">
        <f t="shared" si="9"/>
        <v>{"ITM_SEQ":"11","TYPE":"식품","TYPE_DTL":"과자","ITM_NM":"프링글스 핫앤스파이시","PRICE":"1250","UNIT":"12","":"15000","IMG":"프링글스 핫앤스파이시.jpg"},</v>
      </c>
    </row>
    <row r="190" spans="2:11" ht="14.4" customHeight="1">
      <c r="B190" s="64">
        <v>185</v>
      </c>
      <c r="C190" s="57" t="s">
        <v>12</v>
      </c>
      <c r="D190" s="58" t="s">
        <v>327</v>
      </c>
      <c r="E190" s="63" t="s">
        <v>82</v>
      </c>
      <c r="F190" s="60">
        <v>1250</v>
      </c>
      <c r="G190" s="61">
        <v>12</v>
      </c>
      <c r="H190" s="62">
        <f t="shared" si="7"/>
        <v>15000</v>
      </c>
      <c r="I190" s="63" t="str">
        <f t="shared" si="8"/>
        <v>프링글스 핫앤스파이시.jpg</v>
      </c>
      <c r="J190" s="63"/>
      <c r="K190" s="53" t="str">
        <f t="shared" si="9"/>
        <v>{"ITM_SEQ":"185","TYPE":"식품","TYPE_DTL":"미정","ITM_NM":"프링글스 핫앤스파이시","PRICE":"1250","UNIT":"12","":"15000","IMG":"프링글스 핫앤스파이시.jpg"},</v>
      </c>
    </row>
    <row r="191" spans="2:11" ht="14.4" customHeight="1">
      <c r="B191" s="64">
        <v>8</v>
      </c>
      <c r="C191" s="57" t="s">
        <v>12</v>
      </c>
      <c r="D191" s="57" t="s">
        <v>13</v>
      </c>
      <c r="E191" s="63" t="s">
        <v>207</v>
      </c>
      <c r="F191" s="60">
        <v>1250</v>
      </c>
      <c r="G191" s="61">
        <v>12</v>
      </c>
      <c r="H191" s="62">
        <f t="shared" ref="H191:H254" si="10">F191*G191</f>
        <v>15000</v>
      </c>
      <c r="I191" s="63" t="str">
        <f t="shared" ref="I191:I206" si="11">_xlfn.CONCAT(E191, ".jpg")</f>
        <v>프링글스양파맛.jpg</v>
      </c>
      <c r="J191" s="63"/>
      <c r="K191" s="53" t="str">
        <f t="shared" si="9"/>
        <v>{"ITM_SEQ":"8","TYPE":"식품","TYPE_DTL":"과자","ITM_NM":"프링글스양파맛","PRICE":"1250","UNIT":"12","":"15000","IMG":"프링글스양파맛.jpg"},</v>
      </c>
    </row>
    <row r="192" spans="2:11" ht="14.4" customHeight="1">
      <c r="B192" s="64">
        <v>186</v>
      </c>
      <c r="C192" s="57" t="s">
        <v>12</v>
      </c>
      <c r="D192" s="58" t="s">
        <v>327</v>
      </c>
      <c r="E192" s="63" t="s">
        <v>312</v>
      </c>
      <c r="F192" s="60">
        <v>500</v>
      </c>
      <c r="G192" s="61">
        <v>10</v>
      </c>
      <c r="H192" s="62">
        <f t="shared" si="10"/>
        <v>5000</v>
      </c>
      <c r="I192" s="63" t="str">
        <f t="shared" si="11"/>
        <v>피시스낵 스파이스맛.jpg</v>
      </c>
      <c r="J192" s="63"/>
      <c r="K192" s="53" t="str">
        <f t="shared" si="9"/>
        <v>{"ITM_SEQ":"186","TYPE":"식품","TYPE_DTL":"미정","ITM_NM":"피시스낵 스파이스맛","PRICE":"500","UNIT":"10","":"5000","IMG":"피시스낵 스파이스맛.jpg"},</v>
      </c>
    </row>
    <row r="193" spans="2:11" ht="14.4" customHeight="1">
      <c r="B193" s="64">
        <v>232</v>
      </c>
      <c r="C193" s="57" t="s">
        <v>6</v>
      </c>
      <c r="D193" s="58" t="s">
        <v>327</v>
      </c>
      <c r="E193" s="63" t="s">
        <v>28</v>
      </c>
      <c r="F193" s="60">
        <v>9240</v>
      </c>
      <c r="G193" s="61">
        <v>1</v>
      </c>
      <c r="H193" s="62">
        <f t="shared" si="10"/>
        <v>9240</v>
      </c>
      <c r="I193" s="63" t="str">
        <f t="shared" si="11"/>
        <v>하이뮨 프로틴 밸런스(가루).jpg</v>
      </c>
      <c r="J193" s="63"/>
      <c r="K193" s="53" t="str">
        <f t="shared" si="9"/>
        <v>{"ITM_SEQ":"232","TYPE":"기타","TYPE_DTL":"미정","ITM_NM":"하이뮨 프로틴 밸런스(가루)","PRICE":"9240","UNIT":"1","":"9240","IMG":"하이뮨 프로틴 밸런스(가루).jpg"},</v>
      </c>
    </row>
    <row r="194" spans="2:11" ht="14.4" customHeight="1">
      <c r="B194" s="64">
        <v>187</v>
      </c>
      <c r="C194" s="57" t="s">
        <v>12</v>
      </c>
      <c r="D194" s="58" t="s">
        <v>327</v>
      </c>
      <c r="E194" s="63" t="s">
        <v>313</v>
      </c>
      <c r="F194" s="60">
        <v>1910</v>
      </c>
      <c r="G194" s="61">
        <v>1</v>
      </c>
      <c r="H194" s="62">
        <f t="shared" si="10"/>
        <v>1910</v>
      </c>
      <c r="I194" s="63" t="str">
        <f t="shared" si="11"/>
        <v>할리스 아메리카노 1000ml.jpg</v>
      </c>
      <c r="J194" s="63"/>
      <c r="K194" s="53" t="str">
        <f t="shared" si="9"/>
        <v>{"ITM_SEQ":"187","TYPE":"식품","TYPE_DTL":"미정","ITM_NM":"할리스 아메리카노 1000ml","PRICE":"1910","UNIT":"1","":"1910","IMG":"할리스 아메리카노 1000ml.jpg"},</v>
      </c>
    </row>
    <row r="195" spans="2:11" ht="14.4" customHeight="1">
      <c r="B195" s="64">
        <v>188</v>
      </c>
      <c r="C195" s="57" t="s">
        <v>12</v>
      </c>
      <c r="D195" s="58" t="s">
        <v>327</v>
      </c>
      <c r="E195" s="63" t="s">
        <v>87</v>
      </c>
      <c r="F195" s="60">
        <v>710</v>
      </c>
      <c r="G195" s="61">
        <v>24</v>
      </c>
      <c r="H195" s="62">
        <f t="shared" si="10"/>
        <v>17040</v>
      </c>
      <c r="I195" s="63" t="str">
        <f t="shared" si="11"/>
        <v>핫식스더킹러쉬 355ml.jpg</v>
      </c>
      <c r="J195" s="63"/>
      <c r="K195" s="53" t="str">
        <f t="shared" si="9"/>
        <v>{"ITM_SEQ":"188","TYPE":"식품","TYPE_DTL":"미정","ITM_NM":"핫식스더킹러쉬 355ml","PRICE":"710","UNIT":"24","":"17040","IMG":"핫식스더킹러쉬 355ml.jpg"},</v>
      </c>
    </row>
    <row r="196" spans="2:11" ht="14.4" customHeight="1">
      <c r="B196" s="64">
        <v>189</v>
      </c>
      <c r="C196" s="57" t="s">
        <v>12</v>
      </c>
      <c r="D196" s="58" t="s">
        <v>327</v>
      </c>
      <c r="E196" s="63" t="s">
        <v>322</v>
      </c>
      <c r="F196" s="60">
        <v>850</v>
      </c>
      <c r="G196" s="61">
        <v>24</v>
      </c>
      <c r="H196" s="62">
        <f t="shared" si="10"/>
        <v>20400</v>
      </c>
      <c r="I196" s="63" t="str">
        <f t="shared" si="11"/>
        <v>핫식스더킹크러쉬피치 355ml.jpg</v>
      </c>
      <c r="J196" s="63"/>
      <c r="K196" s="53" t="str">
        <f t="shared" si="9"/>
        <v>{"ITM_SEQ":"189","TYPE":"식품","TYPE_DTL":"미정","ITM_NM":"핫식스더킹크러쉬피치 355ml","PRICE":"850","UNIT":"24","":"20400","IMG":"핫식스더킹크러쉬피치 355ml.jpg"},</v>
      </c>
    </row>
    <row r="197" spans="2:11" ht="14.4" customHeight="1">
      <c r="B197" s="64">
        <v>17</v>
      </c>
      <c r="C197" s="57" t="s">
        <v>12</v>
      </c>
      <c r="D197" s="57" t="s">
        <v>14</v>
      </c>
      <c r="E197" s="63" t="s">
        <v>208</v>
      </c>
      <c r="F197" s="60">
        <v>740</v>
      </c>
      <c r="G197" s="61">
        <v>24</v>
      </c>
      <c r="H197" s="62">
        <f t="shared" si="10"/>
        <v>17760</v>
      </c>
      <c r="I197" s="63" t="str">
        <f t="shared" si="11"/>
        <v>핫식스더킹파워 355ml.jpg</v>
      </c>
      <c r="J197" s="63"/>
      <c r="K197" s="53" t="str">
        <f t="shared" si="9"/>
        <v>{"ITM_SEQ":"17","TYPE":"식품","TYPE_DTL":"음료","ITM_NM":"핫식스더킹파워 355ml","PRICE":"740","UNIT":"24","":"17760","IMG":"핫식스더킹파워 355ml.jpg"},</v>
      </c>
    </row>
    <row r="198" spans="2:11" ht="14.4" customHeight="1">
      <c r="B198" s="64">
        <v>91</v>
      </c>
      <c r="C198" s="57" t="s">
        <v>18</v>
      </c>
      <c r="D198" s="58" t="s">
        <v>327</v>
      </c>
      <c r="E198" s="68" t="s">
        <v>370</v>
      </c>
      <c r="F198" s="60">
        <v>3890</v>
      </c>
      <c r="G198" s="61">
        <v>1</v>
      </c>
      <c r="H198" s="62">
        <f t="shared" si="10"/>
        <v>3890</v>
      </c>
      <c r="I198" s="63" t="str">
        <f t="shared" si="11"/>
        <v>해피바스 오리지널 컬렉션 바디워시 체리블로섬향, 910g.jpg</v>
      </c>
      <c r="J198" s="63"/>
      <c r="K198" s="53" t="str">
        <f t="shared" si="9"/>
        <v>{"ITM_SEQ":"91","TYPE":"화장품","TYPE_DTL":"미정","ITM_NM":"해피바스 오리지널 컬렉션 바디워시 체리블로섬향, 910g","PRICE":"3890","UNIT":"1","":"3890","IMG":"해피바스 오리지널 컬렉션 바디워시 체리블로섬향, 910g.jpg"},</v>
      </c>
    </row>
    <row r="199" spans="2:11" ht="14.4" customHeight="1">
      <c r="B199" s="64">
        <v>19</v>
      </c>
      <c r="C199" s="57" t="s">
        <v>12</v>
      </c>
      <c r="D199" s="57" t="s">
        <v>15</v>
      </c>
      <c r="E199" s="63" t="s">
        <v>209</v>
      </c>
      <c r="F199" s="60">
        <v>620</v>
      </c>
      <c r="G199" s="61">
        <v>36</v>
      </c>
      <c r="H199" s="62">
        <f t="shared" si="10"/>
        <v>22320</v>
      </c>
      <c r="I199" s="63" t="str">
        <f t="shared" si="11"/>
        <v>햇반 130g.jpg</v>
      </c>
      <c r="J199" s="63"/>
      <c r="K199" s="53" t="str">
        <f t="shared" si="9"/>
        <v>{"ITM_SEQ":"19","TYPE":"식품","TYPE_DTL":"즉석밥","ITM_NM":"햇반 130g","PRICE":"620","UNIT":"36","":"22320","IMG":"햇반 130g.jpg"},</v>
      </c>
    </row>
    <row r="200" spans="2:11" ht="14.4" customHeight="1">
      <c r="B200" s="64">
        <v>20</v>
      </c>
      <c r="C200" s="57" t="s">
        <v>12</v>
      </c>
      <c r="D200" s="57" t="s">
        <v>15</v>
      </c>
      <c r="E200" s="63" t="s">
        <v>210</v>
      </c>
      <c r="F200" s="60">
        <v>1100</v>
      </c>
      <c r="G200" s="61">
        <v>24</v>
      </c>
      <c r="H200" s="62">
        <f t="shared" si="10"/>
        <v>26400</v>
      </c>
      <c r="I200" s="63" t="str">
        <f t="shared" si="11"/>
        <v>햇반 210g.jpg</v>
      </c>
      <c r="J200" s="63"/>
      <c r="K200" s="53" t="str">
        <f t="shared" si="9"/>
        <v>{"ITM_SEQ":"20","TYPE":"식품","TYPE_DTL":"즉석밥","ITM_NM":"햇반 210g","PRICE":"1100","UNIT":"24","":"26400","IMG":"햇반 210g.jpg"},</v>
      </c>
    </row>
    <row r="201" spans="2:11" ht="14.4" customHeight="1">
      <c r="B201" s="64">
        <v>23</v>
      </c>
      <c r="C201" s="57" t="s">
        <v>12</v>
      </c>
      <c r="D201" s="57" t="s">
        <v>15</v>
      </c>
      <c r="E201" s="63" t="s">
        <v>211</v>
      </c>
      <c r="F201" s="60">
        <v>1010</v>
      </c>
      <c r="G201" s="61">
        <v>24</v>
      </c>
      <c r="H201" s="62">
        <f t="shared" si="10"/>
        <v>24240</v>
      </c>
      <c r="I201" s="63" t="str">
        <f t="shared" si="11"/>
        <v>햇반 매일잡곡밥 210g.jpg</v>
      </c>
      <c r="J201" s="63"/>
      <c r="K201" s="53" t="str">
        <f t="shared" ref="K201:K206" si="12">_xlfn.CONCAT("{""",$B$3,""":""",B201,""",""",$C$3,""":""",C201,""",""",$D$3,""":""",D201,""",""",$E$3,""":""",E201,""",""",$F$3,""":""",F201,""",""",$G$3,""":""",G201,""",""",$H$3,""":""",H201,""",""",$I$3,""":""",I201,"""},")</f>
        <v>{"ITM_SEQ":"23","TYPE":"식품","TYPE_DTL":"즉석밥","ITM_NM":"햇반 매일잡곡밥 210g","PRICE":"1010","UNIT":"24","":"24240","IMG":"햇반 매일잡곡밥 210g.jpg"},</v>
      </c>
    </row>
    <row r="202" spans="2:11" ht="14.4" customHeight="1">
      <c r="B202" s="64">
        <v>22</v>
      </c>
      <c r="C202" s="57" t="s">
        <v>12</v>
      </c>
      <c r="D202" s="57" t="s">
        <v>15</v>
      </c>
      <c r="E202" s="63" t="s">
        <v>212</v>
      </c>
      <c r="F202" s="60">
        <v>800</v>
      </c>
      <c r="G202" s="61">
        <v>24</v>
      </c>
      <c r="H202" s="62">
        <f t="shared" si="10"/>
        <v>19200</v>
      </c>
      <c r="I202" s="63" t="str">
        <f t="shared" si="11"/>
        <v>햇반흑미밥 130g.jpg</v>
      </c>
      <c r="J202" s="63"/>
      <c r="K202" s="53" t="str">
        <f t="shared" si="12"/>
        <v>{"ITM_SEQ":"22","TYPE":"식품","TYPE_DTL":"즉석밥","ITM_NM":"햇반흑미밥 130g","PRICE":"800","UNIT":"24","":"19200","IMG":"햇반흑미밥 130g.jpg"},</v>
      </c>
    </row>
    <row r="203" spans="2:11" ht="14.4" customHeight="1">
      <c r="B203" s="64">
        <v>123</v>
      </c>
      <c r="C203" s="57" t="s">
        <v>12</v>
      </c>
      <c r="D203" s="57" t="s">
        <v>213</v>
      </c>
      <c r="E203" s="68" t="s">
        <v>369</v>
      </c>
      <c r="F203" s="60">
        <v>40000</v>
      </c>
      <c r="G203" s="61">
        <v>1</v>
      </c>
      <c r="H203" s="62">
        <f t="shared" si="10"/>
        <v>40000</v>
      </c>
      <c r="I203" s="63" t="str">
        <f t="shared" si="11"/>
        <v>정관장 홍삼보운 40ml x 30개입.jpg</v>
      </c>
      <c r="J203" s="63"/>
      <c r="K203" s="53" t="str">
        <f t="shared" si="12"/>
        <v>{"ITM_SEQ":"123","TYPE":"식품","TYPE_DTL":"영양제","ITM_NM":"정관장 홍삼보운 40ml x 30개입","PRICE":"40000","UNIT":"1","":"40000","IMG":"정관장 홍삼보운 40ml x 30개입.jpg"},</v>
      </c>
    </row>
    <row r="204" spans="2:11" ht="14.4" customHeight="1">
      <c r="B204" s="64">
        <v>192</v>
      </c>
      <c r="C204" s="57" t="s">
        <v>12</v>
      </c>
      <c r="D204" s="58" t="s">
        <v>327</v>
      </c>
      <c r="E204" s="71" t="s">
        <v>368</v>
      </c>
      <c r="F204" s="60">
        <v>720</v>
      </c>
      <c r="G204" s="61">
        <v>10</v>
      </c>
      <c r="H204" s="62">
        <f t="shared" si="10"/>
        <v>7200</v>
      </c>
      <c r="I204" s="63" t="str">
        <f t="shared" si="11"/>
        <v>화이트쿠키 빼뺴로.jpg</v>
      </c>
      <c r="J204" s="63"/>
      <c r="K204" s="53" t="str">
        <f t="shared" si="12"/>
        <v>{"ITM_SEQ":"192","TYPE":"식품","TYPE_DTL":"미정","ITM_NM":"화이트쿠키 빼뺴로","PRICE":"720","UNIT":"10","":"7200","IMG":"화이트쿠키 빼뺴로.jpg"},</v>
      </c>
    </row>
    <row r="205" spans="2:11" ht="14.4" customHeight="1">
      <c r="B205" s="64">
        <v>193</v>
      </c>
      <c r="C205" s="57" t="s">
        <v>12</v>
      </c>
      <c r="D205" s="58" t="s">
        <v>327</v>
      </c>
      <c r="E205" s="68" t="s">
        <v>367</v>
      </c>
      <c r="F205" s="60">
        <v>1900</v>
      </c>
      <c r="G205" s="61">
        <v>5</v>
      </c>
      <c r="H205" s="62">
        <f t="shared" si="10"/>
        <v>9500</v>
      </c>
      <c r="I205" s="63" t="str">
        <f t="shared" si="11"/>
        <v>후레쉬베리 6개입.jpg</v>
      </c>
      <c r="J205" s="63"/>
      <c r="K205" s="53" t="str">
        <f t="shared" si="12"/>
        <v>{"ITM_SEQ":"193","TYPE":"식품","TYPE_DTL":"미정","ITM_NM":"후레쉬베리 6개입","PRICE":"1900","UNIT":"5","":"9500","IMG":"후레쉬베리 6개입.jpg"},</v>
      </c>
    </row>
    <row r="206" spans="2:11" ht="14.4" customHeight="1">
      <c r="B206" s="64">
        <v>234</v>
      </c>
      <c r="C206" s="57" t="s">
        <v>6</v>
      </c>
      <c r="D206" s="58" t="s">
        <v>327</v>
      </c>
      <c r="E206" s="71" t="s">
        <v>366</v>
      </c>
      <c r="F206" s="60">
        <v>4210</v>
      </c>
      <c r="G206" s="61">
        <v>1</v>
      </c>
      <c r="H206" s="62">
        <f t="shared" si="10"/>
        <v>4210</v>
      </c>
      <c r="I206" s="63" t="str">
        <f t="shared" si="11"/>
        <v>히말라야 핑크솔트 담은 칫솔.jpg</v>
      </c>
      <c r="J206" s="63"/>
      <c r="K206" s="53" t="str">
        <f t="shared" si="12"/>
        <v>{"ITM_SEQ":"234","TYPE":"기타","TYPE_DTL":"미정","ITM_NM":"히말라야 핑크솔트 담은 칫솔","PRICE":"4210","UNIT":"1","":"4210","IMG":"히말라야 핑크솔트 담은 칫솔.jpg"},</v>
      </c>
    </row>
    <row r="207" spans="2:11" ht="14.4" customHeight="1">
      <c r="B207" s="64"/>
      <c r="C207" s="57"/>
      <c r="D207" s="58"/>
      <c r="E207" s="63"/>
      <c r="F207" s="60"/>
      <c r="G207" s="61"/>
      <c r="H207" s="62"/>
      <c r="I207" s="73"/>
      <c r="J207" s="63"/>
      <c r="K207" s="53" t="s">
        <v>112</v>
      </c>
    </row>
    <row r="208" spans="2:11" ht="14.4" customHeight="1">
      <c r="G208" s="45"/>
    </row>
    <row r="209" spans="7:7" ht="14.4" customHeight="1">
      <c r="G209" s="45"/>
    </row>
    <row r="210" spans="7:7" ht="14.4" customHeight="1">
      <c r="G210" s="45"/>
    </row>
    <row r="211" spans="7:7" ht="14.4" customHeight="1">
      <c r="G211" s="45"/>
    </row>
    <row r="212" spans="7:7" ht="14.4" customHeight="1">
      <c r="G212" s="45"/>
    </row>
    <row r="213" spans="7:7" ht="14.4" customHeight="1">
      <c r="G213" s="45"/>
    </row>
    <row r="214" spans="7:7" ht="14.4" customHeight="1">
      <c r="G214" s="45"/>
    </row>
    <row r="215" spans="7:7" ht="14.4" customHeight="1">
      <c r="G215" s="45"/>
    </row>
    <row r="216" spans="7:7" ht="14.4" customHeight="1">
      <c r="G216" s="45"/>
    </row>
    <row r="217" spans="7:7" ht="14.4" customHeight="1">
      <c r="G217" s="45"/>
    </row>
    <row r="218" spans="7:7" ht="14.4" customHeight="1">
      <c r="G218" s="45"/>
    </row>
    <row r="219" spans="7:7" ht="14.4" customHeight="1">
      <c r="G219" s="45"/>
    </row>
    <row r="220" spans="7:7" ht="14.4" customHeight="1">
      <c r="G220" s="45"/>
    </row>
    <row r="221" spans="7:7" ht="14.4" customHeight="1">
      <c r="G221" s="45"/>
    </row>
    <row r="222" spans="7:7" ht="14.4" customHeight="1">
      <c r="G222" s="45"/>
    </row>
    <row r="223" spans="7:7" ht="14.4" customHeight="1">
      <c r="G223" s="45"/>
    </row>
    <row r="224" spans="7:7" ht="14.4" customHeight="1">
      <c r="G224" s="45"/>
    </row>
    <row r="225" spans="7:7" ht="14.4" customHeight="1">
      <c r="G225" s="45"/>
    </row>
    <row r="226" spans="7:7" ht="14.4" customHeight="1">
      <c r="G226" s="45"/>
    </row>
    <row r="227" spans="7:7" ht="14.4" customHeight="1">
      <c r="G227" s="45"/>
    </row>
    <row r="228" spans="7:7" ht="14.4" customHeight="1">
      <c r="G228" s="45"/>
    </row>
    <row r="229" spans="7:7" ht="14.4" customHeight="1">
      <c r="G229" s="45"/>
    </row>
    <row r="230" spans="7:7" ht="14.4" customHeight="1">
      <c r="G230" s="45"/>
    </row>
    <row r="231" spans="7:7" ht="14.4" customHeight="1">
      <c r="G231" s="45"/>
    </row>
    <row r="232" spans="7:7" ht="14.4" customHeight="1">
      <c r="G232" s="45"/>
    </row>
    <row r="233" spans="7:7" ht="14.4" customHeight="1">
      <c r="G233" s="45"/>
    </row>
    <row r="234" spans="7:7" ht="14.4" customHeight="1">
      <c r="G234" s="45"/>
    </row>
    <row r="235" spans="7:7" ht="14.4" customHeight="1">
      <c r="G235" s="45"/>
    </row>
    <row r="236" spans="7:7" ht="14.4" customHeight="1">
      <c r="G236" s="45"/>
    </row>
    <row r="237" spans="7:7" ht="14.4" customHeight="1">
      <c r="G237" s="45"/>
    </row>
    <row r="238" spans="7:7" ht="14.4" customHeight="1">
      <c r="G238" s="45"/>
    </row>
    <row r="239" spans="7:7" ht="14.4" customHeight="1">
      <c r="G239" s="45"/>
    </row>
    <row r="240" spans="7:7" ht="14.4" customHeight="1">
      <c r="G240" s="45"/>
    </row>
    <row r="241" spans="7:7" ht="14.4" customHeight="1">
      <c r="G241" s="45"/>
    </row>
    <row r="242" spans="7:7" ht="14.4" customHeight="1">
      <c r="G242" s="45"/>
    </row>
    <row r="243" spans="7:7" ht="14.4" customHeight="1">
      <c r="G243" s="45"/>
    </row>
    <row r="244" spans="7:7" ht="14.4" customHeight="1">
      <c r="G244" s="45"/>
    </row>
    <row r="245" spans="7:7" ht="14.4" customHeight="1">
      <c r="G245" s="45"/>
    </row>
    <row r="246" spans="7:7" ht="14.4" customHeight="1">
      <c r="G246" s="45"/>
    </row>
    <row r="247" spans="7:7" ht="14.4" customHeight="1">
      <c r="G247" s="45"/>
    </row>
    <row r="248" spans="7:7" ht="14.4" customHeight="1">
      <c r="G248" s="45"/>
    </row>
    <row r="249" spans="7:7" ht="14.4" customHeight="1">
      <c r="G249" s="45"/>
    </row>
    <row r="250" spans="7:7" ht="14.4" customHeight="1">
      <c r="G250" s="45"/>
    </row>
    <row r="251" spans="7:7" ht="14.4" customHeight="1">
      <c r="G251" s="45"/>
    </row>
    <row r="252" spans="7:7" ht="14.4" customHeight="1">
      <c r="G252" s="45"/>
    </row>
    <row r="253" spans="7:7" ht="14.4" customHeight="1">
      <c r="G253" s="45"/>
    </row>
    <row r="254" spans="7:7" ht="14.4" customHeight="1">
      <c r="G254" s="45"/>
    </row>
    <row r="255" spans="7:7" ht="14.4" customHeight="1">
      <c r="G255" s="45"/>
    </row>
    <row r="256" spans="7:7" ht="14.4" customHeight="1">
      <c r="G256" s="45"/>
    </row>
    <row r="257" spans="7:7" ht="14.4" customHeight="1">
      <c r="G257" s="45"/>
    </row>
    <row r="258" spans="7:7" ht="14.4" customHeight="1">
      <c r="G258" s="45"/>
    </row>
    <row r="259" spans="7:7" ht="14.4" customHeight="1">
      <c r="G259" s="45"/>
    </row>
    <row r="260" spans="7:7" ht="14.4" customHeight="1">
      <c r="G260" s="45"/>
    </row>
    <row r="261" spans="7:7" ht="14.4" customHeight="1">
      <c r="G261" s="45"/>
    </row>
    <row r="262" spans="7:7" ht="14.4" customHeight="1">
      <c r="G262" s="45"/>
    </row>
    <row r="263" spans="7:7" ht="14.4" customHeight="1">
      <c r="G263" s="45"/>
    </row>
    <row r="264" spans="7:7" ht="14.4" customHeight="1">
      <c r="G264" s="45"/>
    </row>
    <row r="265" spans="7:7" ht="14.4" customHeight="1">
      <c r="G265" s="45"/>
    </row>
    <row r="266" spans="7:7" ht="14.4" customHeight="1">
      <c r="G266" s="45"/>
    </row>
    <row r="267" spans="7:7" ht="14.4" customHeight="1">
      <c r="G267" s="45"/>
    </row>
    <row r="268" spans="7:7" ht="14.4" customHeight="1">
      <c r="G268" s="45"/>
    </row>
    <row r="269" spans="7:7" ht="14.4" customHeight="1">
      <c r="G269" s="45"/>
    </row>
    <row r="270" spans="7:7" ht="14.4" customHeight="1">
      <c r="G270" s="45"/>
    </row>
    <row r="271" spans="7:7" ht="14.4" customHeight="1">
      <c r="G271" s="45"/>
    </row>
    <row r="272" spans="7:7" ht="14.4" customHeight="1">
      <c r="G272" s="45"/>
    </row>
    <row r="273" spans="7:7" ht="14.4" customHeight="1">
      <c r="G273" s="45"/>
    </row>
    <row r="274" spans="7:7" ht="14.4" customHeight="1">
      <c r="G274" s="45"/>
    </row>
    <row r="275" spans="7:7" ht="14.4" customHeight="1">
      <c r="G275" s="45"/>
    </row>
    <row r="276" spans="7:7" ht="14.4" customHeight="1">
      <c r="G276" s="45"/>
    </row>
    <row r="277" spans="7:7" ht="14.4" customHeight="1">
      <c r="G277" s="45"/>
    </row>
    <row r="278" spans="7:7" ht="14.4" customHeight="1">
      <c r="G278" s="45"/>
    </row>
    <row r="279" spans="7:7" ht="14.4" customHeight="1">
      <c r="G279" s="45"/>
    </row>
    <row r="280" spans="7:7" ht="14.4" customHeight="1">
      <c r="G280" s="45"/>
    </row>
    <row r="281" spans="7:7" ht="14.4" customHeight="1">
      <c r="G281" s="45"/>
    </row>
    <row r="282" spans="7:7" ht="14.4" customHeight="1">
      <c r="G282" s="45"/>
    </row>
    <row r="283" spans="7:7" ht="14.4" customHeight="1">
      <c r="G283" s="45"/>
    </row>
    <row r="284" spans="7:7" ht="14.4" customHeight="1">
      <c r="G284" s="45"/>
    </row>
    <row r="285" spans="7:7" ht="14.4" customHeight="1">
      <c r="G285" s="45"/>
    </row>
    <row r="286" spans="7:7" ht="14.4" customHeight="1">
      <c r="G286" s="45"/>
    </row>
    <row r="287" spans="7:7" ht="14.4" customHeight="1">
      <c r="G287" s="45"/>
    </row>
    <row r="288" spans="7:7" ht="14.4" customHeight="1">
      <c r="G288" s="45"/>
    </row>
    <row r="289" spans="7:7" ht="14.4" customHeight="1">
      <c r="G289" s="45"/>
    </row>
    <row r="290" spans="7:7" ht="14.4" customHeight="1">
      <c r="G290" s="45"/>
    </row>
    <row r="291" spans="7:7" ht="14.4" customHeight="1">
      <c r="G291" s="45"/>
    </row>
    <row r="292" spans="7:7" ht="14.4" customHeight="1">
      <c r="G292" s="45"/>
    </row>
    <row r="293" spans="7:7" ht="14.4" customHeight="1">
      <c r="G293" s="45"/>
    </row>
    <row r="294" spans="7:7" ht="14.4" customHeight="1">
      <c r="G294" s="45"/>
    </row>
    <row r="295" spans="7:7" ht="14.4" customHeight="1">
      <c r="G295" s="45"/>
    </row>
    <row r="296" spans="7:7" ht="14.4" customHeight="1">
      <c r="G296" s="45"/>
    </row>
    <row r="297" spans="7:7" ht="14.4" customHeight="1">
      <c r="G297" s="45"/>
    </row>
    <row r="298" spans="7:7" ht="14.4" customHeight="1">
      <c r="G298" s="45"/>
    </row>
    <row r="299" spans="7:7" ht="14.4" customHeight="1">
      <c r="G299" s="45"/>
    </row>
    <row r="300" spans="7:7" ht="14.4" customHeight="1">
      <c r="G300" s="45"/>
    </row>
    <row r="301" spans="7:7" ht="14.4" customHeight="1">
      <c r="G301" s="45"/>
    </row>
    <row r="302" spans="7:7" ht="14.4" customHeight="1">
      <c r="G302" s="45"/>
    </row>
    <row r="303" spans="7:7" ht="14.4" customHeight="1">
      <c r="G303" s="45"/>
    </row>
    <row r="304" spans="7:7" ht="14.4" customHeight="1">
      <c r="G304" s="45"/>
    </row>
    <row r="305" spans="7:7" ht="14.4" customHeight="1">
      <c r="G305" s="45"/>
    </row>
    <row r="306" spans="7:7" ht="14.4" customHeight="1">
      <c r="G306" s="45"/>
    </row>
    <row r="307" spans="7:7" ht="14.4" customHeight="1">
      <c r="G307" s="45"/>
    </row>
    <row r="308" spans="7:7" ht="14.4" customHeight="1">
      <c r="G308" s="45"/>
    </row>
    <row r="309" spans="7:7" ht="14.4" customHeight="1">
      <c r="G309" s="45"/>
    </row>
    <row r="310" spans="7:7" ht="14.4" customHeight="1">
      <c r="G310" s="45"/>
    </row>
    <row r="311" spans="7:7" ht="14.4" customHeight="1">
      <c r="G311" s="45"/>
    </row>
    <row r="312" spans="7:7" ht="14.4" customHeight="1">
      <c r="G312" s="45"/>
    </row>
    <row r="313" spans="7:7" ht="14.4" customHeight="1">
      <c r="G313" s="45"/>
    </row>
    <row r="314" spans="7:7" ht="14.4" customHeight="1">
      <c r="G314" s="45"/>
    </row>
    <row r="315" spans="7:7" ht="14.4" customHeight="1">
      <c r="G315" s="45"/>
    </row>
    <row r="316" spans="7:7" ht="14.4" customHeight="1">
      <c r="G316" s="45"/>
    </row>
    <row r="317" spans="7:7" ht="14.4" customHeight="1">
      <c r="G317" s="45"/>
    </row>
    <row r="318" spans="7:7" ht="14.4" customHeight="1">
      <c r="G318" s="45"/>
    </row>
    <row r="319" spans="7:7" ht="14.4" customHeight="1">
      <c r="G319" s="45"/>
    </row>
    <row r="320" spans="7:7" ht="14.4" customHeight="1">
      <c r="G320" s="45"/>
    </row>
    <row r="321" spans="7:7" ht="14.4" customHeight="1">
      <c r="G321" s="45"/>
    </row>
    <row r="322" spans="7:7" ht="14.4" customHeight="1">
      <c r="G322" s="45"/>
    </row>
    <row r="323" spans="7:7" ht="14.4" customHeight="1">
      <c r="G323" s="45"/>
    </row>
    <row r="324" spans="7:7" ht="14.4" customHeight="1">
      <c r="G324" s="45"/>
    </row>
    <row r="325" spans="7:7" ht="14.4" customHeight="1">
      <c r="G325" s="45"/>
    </row>
    <row r="326" spans="7:7" ht="14.4" customHeight="1">
      <c r="G326" s="45"/>
    </row>
    <row r="327" spans="7:7" ht="14.4" customHeight="1">
      <c r="G327" s="45"/>
    </row>
    <row r="328" spans="7:7" ht="14.4" customHeight="1">
      <c r="G328" s="45"/>
    </row>
    <row r="329" spans="7:7" ht="14.4" customHeight="1">
      <c r="G329" s="45"/>
    </row>
    <row r="330" spans="7:7" ht="14.4" customHeight="1">
      <c r="G330" s="45"/>
    </row>
    <row r="331" spans="7:7" ht="14.4" customHeight="1">
      <c r="G331" s="45"/>
    </row>
    <row r="332" spans="7:7" ht="14.4" customHeight="1">
      <c r="G332" s="45"/>
    </row>
    <row r="333" spans="7:7" ht="14.4" customHeight="1">
      <c r="G333" s="45"/>
    </row>
    <row r="334" spans="7:7" ht="14.4" customHeight="1">
      <c r="G334" s="45"/>
    </row>
    <row r="335" spans="7:7" ht="14.4" customHeight="1">
      <c r="G335" s="45"/>
    </row>
    <row r="336" spans="7:7" ht="14.4" customHeight="1">
      <c r="G336" s="45"/>
    </row>
    <row r="337" spans="7:7" ht="14.4" customHeight="1">
      <c r="G337" s="45"/>
    </row>
    <row r="338" spans="7:7" ht="14.4" customHeight="1">
      <c r="G338" s="45"/>
    </row>
    <row r="339" spans="7:7" ht="14.4" customHeight="1">
      <c r="G339" s="45"/>
    </row>
    <row r="340" spans="7:7" ht="14.4" customHeight="1">
      <c r="G340" s="45"/>
    </row>
    <row r="341" spans="7:7" ht="14.4" customHeight="1">
      <c r="G341" s="45"/>
    </row>
    <row r="342" spans="7:7" ht="14.4" customHeight="1">
      <c r="G342" s="45"/>
    </row>
    <row r="343" spans="7:7" ht="14.4" customHeight="1">
      <c r="G343" s="45"/>
    </row>
    <row r="344" spans="7:7" ht="14.4" customHeight="1">
      <c r="G344" s="45"/>
    </row>
    <row r="345" spans="7:7" ht="14.4" customHeight="1">
      <c r="G345" s="45"/>
    </row>
    <row r="346" spans="7:7" ht="14.4" customHeight="1">
      <c r="G346" s="45"/>
    </row>
    <row r="347" spans="7:7" ht="14.4" customHeight="1">
      <c r="G347" s="45"/>
    </row>
    <row r="348" spans="7:7" ht="14.4" customHeight="1">
      <c r="G348" s="45"/>
    </row>
    <row r="349" spans="7:7" ht="14.4" customHeight="1">
      <c r="G349" s="45"/>
    </row>
    <row r="350" spans="7:7" ht="14.4" customHeight="1">
      <c r="G350" s="45"/>
    </row>
    <row r="351" spans="7:7" ht="14.4" customHeight="1">
      <c r="G351" s="45"/>
    </row>
    <row r="352" spans="7:7" ht="14.4" customHeight="1">
      <c r="G352" s="45"/>
    </row>
    <row r="353" spans="7:7" ht="14.4" customHeight="1">
      <c r="G353" s="45"/>
    </row>
    <row r="354" spans="7:7" ht="14.4" customHeight="1">
      <c r="G354" s="45"/>
    </row>
    <row r="355" spans="7:7" ht="14.4" customHeight="1">
      <c r="G355" s="45"/>
    </row>
    <row r="356" spans="7:7" ht="14.4" customHeight="1">
      <c r="G356" s="45"/>
    </row>
    <row r="357" spans="7:7" ht="14.4" customHeight="1">
      <c r="G357" s="45"/>
    </row>
    <row r="358" spans="7:7" ht="14.4" customHeight="1">
      <c r="G358" s="45"/>
    </row>
    <row r="359" spans="7:7" ht="14.4" customHeight="1">
      <c r="G359" s="45"/>
    </row>
    <row r="360" spans="7:7" ht="14.4" customHeight="1">
      <c r="G360" s="45"/>
    </row>
    <row r="361" spans="7:7" ht="14.4" customHeight="1">
      <c r="G361" s="45"/>
    </row>
    <row r="362" spans="7:7" ht="14.4" customHeight="1">
      <c r="G362" s="45"/>
    </row>
    <row r="363" spans="7:7" ht="14.4" customHeight="1">
      <c r="G363" s="45"/>
    </row>
    <row r="364" spans="7:7" ht="14.4" customHeight="1">
      <c r="G364" s="45"/>
    </row>
    <row r="365" spans="7:7" ht="14.4" customHeight="1">
      <c r="G365" s="45"/>
    </row>
    <row r="366" spans="7:7" ht="14.4" customHeight="1">
      <c r="G366" s="45"/>
    </row>
    <row r="367" spans="7:7" ht="14.4" customHeight="1">
      <c r="G367" s="45"/>
    </row>
    <row r="368" spans="7:7" ht="14.4" customHeight="1">
      <c r="G368" s="45"/>
    </row>
    <row r="369" spans="7:7" ht="14.4" customHeight="1">
      <c r="G369" s="45"/>
    </row>
    <row r="370" spans="7:7" ht="14.4" customHeight="1">
      <c r="G370" s="45"/>
    </row>
    <row r="371" spans="7:7" ht="14.4" customHeight="1">
      <c r="G371" s="45"/>
    </row>
    <row r="372" spans="7:7" ht="14.4" customHeight="1">
      <c r="G372" s="45"/>
    </row>
    <row r="373" spans="7:7" ht="14.4" customHeight="1">
      <c r="G373" s="45"/>
    </row>
    <row r="374" spans="7:7" ht="14.4" customHeight="1">
      <c r="G374" s="45"/>
    </row>
    <row r="375" spans="7:7" ht="14.4" customHeight="1">
      <c r="G375" s="45"/>
    </row>
    <row r="376" spans="7:7" ht="14.4" customHeight="1">
      <c r="G376" s="45"/>
    </row>
    <row r="377" spans="7:7" ht="14.4" customHeight="1">
      <c r="G377" s="45"/>
    </row>
    <row r="378" spans="7:7" ht="14.4" customHeight="1">
      <c r="G378" s="45"/>
    </row>
    <row r="379" spans="7:7" ht="14.4" customHeight="1">
      <c r="G379" s="45"/>
    </row>
    <row r="380" spans="7:7" ht="14.4" customHeight="1">
      <c r="G380" s="45"/>
    </row>
    <row r="381" spans="7:7" ht="14.4" customHeight="1">
      <c r="G381" s="45"/>
    </row>
    <row r="382" spans="7:7" ht="14.4" customHeight="1">
      <c r="G382" s="45"/>
    </row>
    <row r="383" spans="7:7" ht="14.4" customHeight="1">
      <c r="G383" s="45"/>
    </row>
    <row r="384" spans="7:7" ht="14.4" customHeight="1">
      <c r="G384" s="45"/>
    </row>
    <row r="385" spans="7:7" ht="14.4" customHeight="1">
      <c r="G385" s="45"/>
    </row>
    <row r="386" spans="7:7" ht="14.4" customHeight="1">
      <c r="G386" s="45"/>
    </row>
    <row r="387" spans="7:7" ht="14.4" customHeight="1">
      <c r="G387" s="45"/>
    </row>
    <row r="388" spans="7:7" ht="14.4" customHeight="1">
      <c r="G388" s="45"/>
    </row>
    <row r="389" spans="7:7" ht="14.4" customHeight="1">
      <c r="G389" s="45"/>
    </row>
    <row r="390" spans="7:7" ht="14.4" customHeight="1">
      <c r="G390" s="45"/>
    </row>
    <row r="391" spans="7:7" ht="14.4" customHeight="1">
      <c r="G391" s="45"/>
    </row>
    <row r="392" spans="7:7" ht="14.4" customHeight="1">
      <c r="G392" s="45"/>
    </row>
    <row r="393" spans="7:7" ht="14.4" customHeight="1">
      <c r="G393" s="45"/>
    </row>
    <row r="394" spans="7:7" ht="14.4" customHeight="1">
      <c r="G394" s="45"/>
    </row>
    <row r="395" spans="7:7" ht="14.4" customHeight="1">
      <c r="G395" s="45"/>
    </row>
    <row r="396" spans="7:7" ht="14.4" customHeight="1">
      <c r="G396" s="45"/>
    </row>
    <row r="397" spans="7:7" ht="14.4" customHeight="1">
      <c r="G397" s="45"/>
    </row>
    <row r="398" spans="7:7" ht="14.4" customHeight="1">
      <c r="G398" s="45"/>
    </row>
    <row r="399" spans="7:7" ht="14.4" customHeight="1">
      <c r="G399" s="45"/>
    </row>
    <row r="400" spans="7:7" ht="14.4" customHeight="1">
      <c r="G400" s="45"/>
    </row>
    <row r="401" spans="7:7" ht="14.4" customHeight="1">
      <c r="G401" s="45"/>
    </row>
    <row r="402" spans="7:7" ht="14.4" customHeight="1">
      <c r="G402" s="45"/>
    </row>
    <row r="403" spans="7:7" ht="14.4" customHeight="1">
      <c r="G403" s="45"/>
    </row>
    <row r="404" spans="7:7" ht="14.4" customHeight="1">
      <c r="G404" s="45"/>
    </row>
    <row r="405" spans="7:7" ht="14.4" customHeight="1">
      <c r="G405" s="45"/>
    </row>
    <row r="406" spans="7:7" ht="14.4" customHeight="1">
      <c r="G406" s="45"/>
    </row>
    <row r="407" spans="7:7" ht="14.4" customHeight="1">
      <c r="G407" s="45"/>
    </row>
    <row r="408" spans="7:7" ht="14.4" customHeight="1">
      <c r="G408" s="45"/>
    </row>
    <row r="409" spans="7:7" ht="14.4" customHeight="1">
      <c r="G409" s="45"/>
    </row>
    <row r="410" spans="7:7" ht="14.4" customHeight="1">
      <c r="G410" s="45"/>
    </row>
    <row r="411" spans="7:7" ht="14.4" customHeight="1">
      <c r="G411" s="45"/>
    </row>
    <row r="412" spans="7:7" ht="14.4" customHeight="1">
      <c r="G412" s="45"/>
    </row>
    <row r="413" spans="7:7" ht="14.4" customHeight="1">
      <c r="G413" s="45"/>
    </row>
    <row r="414" spans="7:7" ht="14.4" customHeight="1">
      <c r="G414" s="45"/>
    </row>
    <row r="415" spans="7:7" ht="14.4" customHeight="1">
      <c r="G415" s="45"/>
    </row>
    <row r="416" spans="7:7" ht="14.4" customHeight="1">
      <c r="G416" s="45"/>
    </row>
    <row r="417" spans="7:7" ht="14.4" customHeight="1">
      <c r="G417" s="45"/>
    </row>
    <row r="418" spans="7:7" ht="14.4" customHeight="1">
      <c r="G418" s="45"/>
    </row>
    <row r="419" spans="7:7" ht="14.4" customHeight="1">
      <c r="G419" s="45"/>
    </row>
    <row r="420" spans="7:7" ht="14.4" customHeight="1">
      <c r="G420" s="45"/>
    </row>
    <row r="421" spans="7:7" ht="14.4" customHeight="1">
      <c r="G421" s="45"/>
    </row>
    <row r="422" spans="7:7" ht="14.4" customHeight="1">
      <c r="G422" s="45"/>
    </row>
    <row r="423" spans="7:7" ht="14.4" customHeight="1">
      <c r="G423" s="45"/>
    </row>
    <row r="424" spans="7:7" ht="14.4" customHeight="1">
      <c r="G424" s="45"/>
    </row>
    <row r="425" spans="7:7" ht="14.4" customHeight="1">
      <c r="G425" s="45"/>
    </row>
    <row r="426" spans="7:7" ht="14.4" customHeight="1">
      <c r="G426" s="45"/>
    </row>
    <row r="427" spans="7:7" ht="14.4" customHeight="1">
      <c r="G427" s="45"/>
    </row>
    <row r="428" spans="7:7" ht="14.4" customHeight="1">
      <c r="G428" s="45"/>
    </row>
    <row r="429" spans="7:7" ht="14.4" customHeight="1">
      <c r="G429" s="45"/>
    </row>
    <row r="430" spans="7:7" ht="14.4" customHeight="1">
      <c r="G430" s="45"/>
    </row>
    <row r="431" spans="7:7" ht="14.4" customHeight="1">
      <c r="G431" s="45"/>
    </row>
    <row r="432" spans="7:7" ht="14.4" customHeight="1">
      <c r="G432" s="45"/>
    </row>
    <row r="433" spans="7:7" ht="14.4" customHeight="1">
      <c r="G433" s="45"/>
    </row>
    <row r="434" spans="7:7" ht="14.4" customHeight="1">
      <c r="G434" s="45"/>
    </row>
    <row r="435" spans="7:7" ht="14.4" customHeight="1">
      <c r="G435" s="45"/>
    </row>
    <row r="436" spans="7:7" ht="14.4" customHeight="1">
      <c r="G436" s="45"/>
    </row>
    <row r="437" spans="7:7" ht="14.4" customHeight="1">
      <c r="G437" s="45"/>
    </row>
    <row r="438" spans="7:7" ht="14.4" customHeight="1">
      <c r="G438" s="45"/>
    </row>
    <row r="439" spans="7:7" ht="14.4" customHeight="1">
      <c r="G439" s="45"/>
    </row>
    <row r="440" spans="7:7" ht="14.4" customHeight="1">
      <c r="G440" s="45"/>
    </row>
    <row r="441" spans="7:7" ht="14.4" customHeight="1">
      <c r="G441" s="45"/>
    </row>
    <row r="442" spans="7:7" ht="14.4" customHeight="1">
      <c r="G442" s="45"/>
    </row>
    <row r="443" spans="7:7" ht="14.4" customHeight="1">
      <c r="G443" s="45"/>
    </row>
    <row r="444" spans="7:7" ht="14.4" customHeight="1">
      <c r="G444" s="45"/>
    </row>
    <row r="445" spans="7:7" ht="14.4" customHeight="1">
      <c r="G445" s="45"/>
    </row>
    <row r="446" spans="7:7" ht="14.4" customHeight="1">
      <c r="G446" s="45"/>
    </row>
    <row r="447" spans="7:7" ht="14.4" customHeight="1">
      <c r="G447" s="45"/>
    </row>
    <row r="448" spans="7:7" ht="14.4" customHeight="1">
      <c r="G448" s="45"/>
    </row>
    <row r="449" spans="7:7" ht="14.4" customHeight="1">
      <c r="G449" s="45"/>
    </row>
    <row r="450" spans="7:7" ht="14.4" customHeight="1">
      <c r="G450" s="45"/>
    </row>
    <row r="451" spans="7:7" ht="14.4" customHeight="1">
      <c r="G451" s="45"/>
    </row>
    <row r="452" spans="7:7" ht="14.4" customHeight="1">
      <c r="G452" s="45"/>
    </row>
    <row r="453" spans="7:7" ht="14.4" customHeight="1">
      <c r="G453" s="45"/>
    </row>
    <row r="454" spans="7:7" ht="14.4" customHeight="1">
      <c r="G454" s="45"/>
    </row>
    <row r="455" spans="7:7" ht="14.4" customHeight="1">
      <c r="G455" s="45"/>
    </row>
    <row r="456" spans="7:7" ht="14.4" customHeight="1">
      <c r="G456" s="45"/>
    </row>
    <row r="457" spans="7:7" ht="14.4" customHeight="1">
      <c r="G457" s="45"/>
    </row>
    <row r="458" spans="7:7" ht="14.4" customHeight="1">
      <c r="G458" s="45"/>
    </row>
    <row r="459" spans="7:7" ht="14.4" customHeight="1">
      <c r="G459" s="45"/>
    </row>
    <row r="460" spans="7:7" ht="14.4" customHeight="1">
      <c r="G460" s="45"/>
    </row>
    <row r="461" spans="7:7" ht="14.4" customHeight="1">
      <c r="G461" s="45"/>
    </row>
    <row r="462" spans="7:7" ht="14.4" customHeight="1">
      <c r="G462" s="45"/>
    </row>
  </sheetData>
  <autoFilter ref="B3:J207" xr:uid="{FFC70EA4-87C6-44F8-A254-94EBEE5F6E1D}">
    <sortState xmlns:xlrd2="http://schemas.microsoft.com/office/spreadsheetml/2017/richdata2" ref="B4:J207">
      <sortCondition ref="E3:E207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1015"/>
  <sheetViews>
    <sheetView topLeftCell="A19" workbookViewId="0">
      <selection activeCell="E53" sqref="E53"/>
    </sheetView>
  </sheetViews>
  <sheetFormatPr defaultColWidth="12.6640625" defaultRowHeight="14.4" customHeight="1"/>
  <cols>
    <col min="1" max="1" width="3.33203125" customWidth="1"/>
    <col min="2" max="2" width="11.6640625" style="5" bestFit="1" customWidth="1"/>
    <col min="3" max="4" width="23" customWidth="1"/>
    <col min="5" max="5" width="43.88671875" bestFit="1" customWidth="1"/>
    <col min="6" max="6" width="55.33203125" customWidth="1"/>
    <col min="7" max="8" width="12.6640625" customWidth="1"/>
    <col min="9" max="9" width="19.21875" style="25" customWidth="1"/>
    <col min="10" max="10" width="16.21875" customWidth="1"/>
  </cols>
  <sheetData>
    <row r="1" spans="2:11" ht="14.4" customHeight="1">
      <c r="G1" s="3"/>
    </row>
    <row r="2" spans="2:11" ht="14.4" customHeight="1">
      <c r="B2" s="6" t="s">
        <v>56</v>
      </c>
      <c r="C2" s="7" t="s">
        <v>2</v>
      </c>
      <c r="D2" s="7" t="s">
        <v>3</v>
      </c>
      <c r="E2" s="7" t="s">
        <v>0</v>
      </c>
      <c r="F2" s="7" t="s">
        <v>1</v>
      </c>
      <c r="G2" s="7" t="s">
        <v>4</v>
      </c>
      <c r="H2" s="8" t="s">
        <v>57</v>
      </c>
      <c r="I2" s="8" t="s">
        <v>58</v>
      </c>
      <c r="J2" s="7" t="s">
        <v>5</v>
      </c>
      <c r="K2" s="9"/>
    </row>
    <row r="3" spans="2:11" ht="14.4" customHeight="1">
      <c r="B3" s="10" t="s">
        <v>59</v>
      </c>
      <c r="C3" s="11" t="s">
        <v>60</v>
      </c>
      <c r="D3" s="11" t="s">
        <v>29</v>
      </c>
      <c r="E3" s="11" t="s">
        <v>30</v>
      </c>
      <c r="F3" s="11" t="s">
        <v>61</v>
      </c>
      <c r="G3" s="11" t="s">
        <v>31</v>
      </c>
      <c r="H3" s="12"/>
      <c r="I3" s="12" t="s">
        <v>62</v>
      </c>
      <c r="J3" s="11" t="s">
        <v>32</v>
      </c>
      <c r="K3" s="9" t="s">
        <v>131</v>
      </c>
    </row>
    <row r="4" spans="2:11">
      <c r="B4" s="13">
        <v>1</v>
      </c>
      <c r="C4" s="14" t="s">
        <v>6</v>
      </c>
      <c r="D4" s="14" t="s">
        <v>7</v>
      </c>
      <c r="E4" s="14" t="s">
        <v>8</v>
      </c>
      <c r="F4" s="15">
        <v>2970</v>
      </c>
      <c r="G4" s="16">
        <v>1</v>
      </c>
      <c r="H4" s="17">
        <f t="shared" ref="H4:H52" si="0">F4*G4</f>
        <v>2970</v>
      </c>
      <c r="I4" s="26" t="s">
        <v>63</v>
      </c>
      <c r="J4" s="19" t="s">
        <v>9</v>
      </c>
      <c r="K4" s="9" t="str">
        <f>_xlfn.CONCAT("{""",$B$3,""":""",B4,""",""",$C$3,""":""",C4,""",""",$D$3,""":""",D4,""",""",$E$3,""":""",E4,""",""",$F$3,""":""",F4,""",""",$G$3,""":""",G4,""",""",$H$3,""":""",H4,""",""",$I$3,""":""",I4,"""},")</f>
        <v>{"ITM_SEQ":"1","TYPE":"기타","TYPE_DTL":"디퓨저","ITM_NM":"캘리포니아센트 스필프루프 코로나도","PRICE":"2970","UNIT":"1","":"2970","IMG":"캘리포니아센트 스필프루프 코로나도.jpg"},</v>
      </c>
    </row>
    <row r="5" spans="2:11" ht="14.4" customHeight="1">
      <c r="B5" s="20">
        <v>2</v>
      </c>
      <c r="C5" s="14" t="s">
        <v>6</v>
      </c>
      <c r="D5" s="14" t="s">
        <v>7</v>
      </c>
      <c r="E5" s="14" t="s">
        <v>10</v>
      </c>
      <c r="F5" s="15">
        <v>6100</v>
      </c>
      <c r="G5" s="16">
        <v>1</v>
      </c>
      <c r="H5" s="17">
        <f t="shared" si="0"/>
        <v>6100</v>
      </c>
      <c r="I5" s="26" t="s">
        <v>64</v>
      </c>
      <c r="J5" s="19"/>
      <c r="K5" s="9" t="str">
        <f t="shared" ref="K5:K52" si="1">_xlfn.CONCAT("{""",$B$3,""":""",B5,""",""",$C$3,""":""",C5,""",""",$D$3,""":""",D5,""",""",$E$3,""":""",E5,""",""",$F$3,""":""",F5,""",""",$G$3,""":""",G5,""",""",$H$3,""":""",H5,""",""",$I$3,""":""",I5,"""},")</f>
        <v>{"ITM_SEQ":"2","TYPE":"기타","TYPE_DTL":"디퓨저","ITM_NM":"젠틀 디퓨저 블랙로즈","PRICE":"6100","UNIT":"1","":"6100","IMG":"젠틀 디퓨저 블랙로즈.jpg"},</v>
      </c>
    </row>
    <row r="6" spans="2:11" ht="14.4" customHeight="1">
      <c r="B6" s="13">
        <v>3</v>
      </c>
      <c r="C6" s="14" t="s">
        <v>6</v>
      </c>
      <c r="D6" s="14" t="s">
        <v>7</v>
      </c>
      <c r="E6" s="18" t="s">
        <v>65</v>
      </c>
      <c r="F6" s="15">
        <v>8760</v>
      </c>
      <c r="G6" s="16">
        <v>1</v>
      </c>
      <c r="H6" s="17">
        <f t="shared" si="0"/>
        <v>8760</v>
      </c>
      <c r="I6" s="26" t="s">
        <v>66</v>
      </c>
      <c r="J6" s="19"/>
      <c r="K6" s="9" t="str">
        <f t="shared" si="1"/>
        <v>{"ITM_SEQ":"3","TYPE":"기타","TYPE_DTL":"디퓨저","ITM_NM":"에멜시 차량용 방향제 170ml 헤블린 오션","PRICE":"8760","UNIT":"1","":"8760","IMG":"에멜시 차량용 방향제 170ml 헤블린 오션.jpg"},</v>
      </c>
    </row>
    <row r="7" spans="2:11" ht="14.4" customHeight="1">
      <c r="B7" s="20">
        <v>4</v>
      </c>
      <c r="C7" s="14" t="s">
        <v>6</v>
      </c>
      <c r="D7" s="14" t="s">
        <v>7</v>
      </c>
      <c r="E7" s="18" t="s">
        <v>67</v>
      </c>
      <c r="F7" s="15">
        <v>8990</v>
      </c>
      <c r="G7" s="16">
        <v>1</v>
      </c>
      <c r="H7" s="17">
        <f t="shared" si="0"/>
        <v>8990</v>
      </c>
      <c r="I7" s="26" t="s">
        <v>68</v>
      </c>
      <c r="J7" s="19"/>
      <c r="K7" s="9" t="str">
        <f t="shared" si="1"/>
        <v>{"ITM_SEQ":"4","TYPE":"기타","TYPE_DTL":"디퓨저","ITM_NM":"그라스 디퓨저 105ml 블랙베리&amp;체리","PRICE":"8990","UNIT":"1","":"8990","IMG":"그라스 디퓨저 105ml 블랙베리&amp;체리.jpg"},</v>
      </c>
    </row>
    <row r="8" spans="2:11" ht="14.4" customHeight="1">
      <c r="B8" s="13">
        <v>5</v>
      </c>
      <c r="C8" s="14" t="s">
        <v>6</v>
      </c>
      <c r="D8" s="14" t="s">
        <v>11</v>
      </c>
      <c r="E8" s="18" t="s">
        <v>69</v>
      </c>
      <c r="F8" s="15">
        <v>6150</v>
      </c>
      <c r="G8" s="16">
        <v>1</v>
      </c>
      <c r="H8" s="17">
        <f t="shared" si="0"/>
        <v>6150</v>
      </c>
      <c r="I8" s="26" t="s">
        <v>70</v>
      </c>
      <c r="J8" s="19"/>
      <c r="K8" s="9" t="str">
        <f t="shared" si="1"/>
        <v>{"ITM_SEQ":"5","TYPE":"기타","TYPE_DTL":"세재","ITM_NM":"다우니 프리미엄 세탁세제 액체형 실내건조","PRICE":"6150","UNIT":"1","":"6150","IMG":"다우니 프리미엄 세탁세제 액체형 실내건조.jpg"},</v>
      </c>
    </row>
    <row r="9" spans="2:11" ht="14.4" customHeight="1">
      <c r="B9" s="20">
        <v>6</v>
      </c>
      <c r="C9" s="14" t="s">
        <v>6</v>
      </c>
      <c r="D9" s="14" t="s">
        <v>71</v>
      </c>
      <c r="E9" s="18" t="s">
        <v>72</v>
      </c>
      <c r="F9" s="15">
        <v>25280</v>
      </c>
      <c r="G9" s="16">
        <v>1</v>
      </c>
      <c r="H9" s="17">
        <f t="shared" si="0"/>
        <v>25280</v>
      </c>
      <c r="I9" s="26" t="s">
        <v>73</v>
      </c>
      <c r="J9" s="19"/>
      <c r="K9" s="9" t="str">
        <f t="shared" si="1"/>
        <v>{"ITM_SEQ":"6","TYPE":"기타","TYPE_DTL":"안마기","ITM_NM":"비트 마사지 건 HMS-12","PRICE":"25280","UNIT":"1","":"25280","IMG":"비트 마사지 건 HMS-12.jpg"},</v>
      </c>
    </row>
    <row r="10" spans="2:11" ht="14.4" customHeight="1">
      <c r="B10" s="13">
        <v>7</v>
      </c>
      <c r="C10" s="14" t="s">
        <v>6</v>
      </c>
      <c r="D10" s="14" t="s">
        <v>74</v>
      </c>
      <c r="E10" s="18" t="s">
        <v>75</v>
      </c>
      <c r="F10" s="15">
        <v>13280</v>
      </c>
      <c r="G10" s="16">
        <v>1</v>
      </c>
      <c r="H10" s="17">
        <f t="shared" si="0"/>
        <v>13280</v>
      </c>
      <c r="I10" s="26" t="s">
        <v>76</v>
      </c>
      <c r="J10" s="19"/>
      <c r="K10" s="9" t="str">
        <f t="shared" si="1"/>
        <v>{"ITM_SEQ":"7","TYPE":"기타","TYPE_DTL":"면도날","ITM_NM":"질레트 프로쉴드 옐로우 면도날 4입","PRICE":"13280","UNIT":"1","":"13280","IMG":"질레트 프로쉴드 옐로우 면도날 4입.jpg"},</v>
      </c>
    </row>
    <row r="11" spans="2:11" ht="14.4" customHeight="1">
      <c r="B11" s="20">
        <v>8</v>
      </c>
      <c r="C11" s="14" t="s">
        <v>12</v>
      </c>
      <c r="D11" s="14" t="s">
        <v>13</v>
      </c>
      <c r="E11" s="18" t="s">
        <v>77</v>
      </c>
      <c r="F11" s="15">
        <v>1250</v>
      </c>
      <c r="G11" s="16">
        <v>12</v>
      </c>
      <c r="H11" s="17">
        <f t="shared" si="0"/>
        <v>15000</v>
      </c>
      <c r="I11" s="26" t="s">
        <v>78</v>
      </c>
      <c r="J11" s="19"/>
      <c r="K11" s="9" t="str">
        <f t="shared" si="1"/>
        <v>{"ITM_SEQ":"8","TYPE":"식품","TYPE_DTL":"과자","ITM_NM":"프링글스양파맛","PRICE":"1250","UNIT":"12","":"15000","IMG":"프링글스양파맛.jpg"},</v>
      </c>
    </row>
    <row r="12" spans="2:11" ht="14.4" customHeight="1">
      <c r="B12" s="13">
        <v>9</v>
      </c>
      <c r="C12" s="14" t="s">
        <v>12</v>
      </c>
      <c r="D12" s="14" t="s">
        <v>13</v>
      </c>
      <c r="E12" s="18" t="s">
        <v>79</v>
      </c>
      <c r="F12" s="15">
        <v>1400</v>
      </c>
      <c r="G12" s="16">
        <v>12</v>
      </c>
      <c r="H12" s="17">
        <f t="shared" si="0"/>
        <v>16800</v>
      </c>
      <c r="I12" s="27" t="s">
        <v>35</v>
      </c>
      <c r="J12" s="19"/>
      <c r="K12" s="9" t="str">
        <f t="shared" si="1"/>
        <v>{"ITM_SEQ":"9","TYPE":"식품","TYPE_DTL":"과자","ITM_NM":"프링글스 리치치즈갈릭","PRICE":"1400","UNIT":"12","":"16800","IMG":"프링글스 리치치즈갈릭.jpg"},</v>
      </c>
    </row>
    <row r="13" spans="2:11" ht="14.4" customHeight="1">
      <c r="B13" s="20">
        <v>10</v>
      </c>
      <c r="C13" s="14" t="s">
        <v>12</v>
      </c>
      <c r="D13" s="14" t="s">
        <v>13</v>
      </c>
      <c r="E13" s="1" t="s">
        <v>80</v>
      </c>
      <c r="F13" s="2">
        <v>1250</v>
      </c>
      <c r="G13" s="16">
        <v>12</v>
      </c>
      <c r="H13" s="17">
        <f t="shared" si="0"/>
        <v>15000</v>
      </c>
      <c r="I13" s="27" t="s">
        <v>81</v>
      </c>
      <c r="J13" s="19"/>
      <c r="K13" s="9" t="str">
        <f t="shared" si="1"/>
        <v>{"ITM_SEQ":"10","TYPE":"식품","TYPE_DTL":"과자","ITM_NM":"프링글스 버터카라멜","PRICE":"1250","UNIT":"12","":"15000","IMG":"프링글스 버터카라멜.jpg"},</v>
      </c>
    </row>
    <row r="14" spans="2:11" ht="14.4" customHeight="1">
      <c r="B14" s="13">
        <v>11</v>
      </c>
      <c r="C14" s="14" t="s">
        <v>12</v>
      </c>
      <c r="D14" s="14" t="s">
        <v>13</v>
      </c>
      <c r="E14" s="1" t="s">
        <v>82</v>
      </c>
      <c r="F14" s="2">
        <v>1250</v>
      </c>
      <c r="G14" s="16">
        <v>12</v>
      </c>
      <c r="H14" s="17">
        <f t="shared" si="0"/>
        <v>15000</v>
      </c>
      <c r="I14" s="27" t="s">
        <v>83</v>
      </c>
      <c r="J14" s="19"/>
      <c r="K14" s="9" t="str">
        <f t="shared" si="1"/>
        <v>{"ITM_SEQ":"11","TYPE":"식품","TYPE_DTL":"과자","ITM_NM":"프링글스 핫앤스파이시","PRICE":"1250","UNIT":"12","":"15000","IMG":"프링글스 핫앤스파이시.jpg"},</v>
      </c>
    </row>
    <row r="15" spans="2:11" ht="14.4" customHeight="1">
      <c r="B15" s="20">
        <v>12</v>
      </c>
      <c r="C15" s="14" t="s">
        <v>12</v>
      </c>
      <c r="D15" s="14" t="s">
        <v>13</v>
      </c>
      <c r="E15" s="18" t="s">
        <v>84</v>
      </c>
      <c r="F15" s="15">
        <v>450</v>
      </c>
      <c r="G15" s="16">
        <v>15</v>
      </c>
      <c r="H15" s="17">
        <f t="shared" si="0"/>
        <v>6750</v>
      </c>
      <c r="I15" s="27" t="s">
        <v>85</v>
      </c>
      <c r="J15" s="19"/>
      <c r="K15" s="9" t="str">
        <f t="shared" si="1"/>
        <v>{"ITM_SEQ":"12","TYPE":"식품","TYPE_DTL":"과자","ITM_NM":"키커바","PRICE":"450","UNIT":"15","":"6750","IMG":"키커바.png"},</v>
      </c>
    </row>
    <row r="16" spans="2:11" ht="14.4" customHeight="1">
      <c r="B16" s="13">
        <v>13</v>
      </c>
      <c r="C16" s="14" t="s">
        <v>12</v>
      </c>
      <c r="D16" s="14" t="s">
        <v>13</v>
      </c>
      <c r="E16" s="18" t="s">
        <v>137</v>
      </c>
      <c r="F16" s="15">
        <v>7130</v>
      </c>
      <c r="G16" s="16">
        <v>1</v>
      </c>
      <c r="H16" s="17">
        <f t="shared" ref="H16" si="2">F16*G16</f>
        <v>7130</v>
      </c>
      <c r="I16" s="32" t="s">
        <v>138</v>
      </c>
      <c r="J16" s="19"/>
      <c r="K16" s="9" t="str">
        <f t="shared" ref="K16" si="3">_xlfn.CONCAT("{""",$B$3,""":""",B16,""",""",$C$3,""":""",C16,""",""",$D$3,""":""",D16,""",""",$E$3,""":""",E16,""",""",$F$3,""":""",F16,""",""",$G$3,""":""",G16,""",""",$H$3,""":""",H16,""",""",$I$3,""":""",I16,"""},")</f>
        <v>{"ITM_SEQ":"13","TYPE":"식품","TYPE_DTL":"과자","ITM_NM":"코주부 CLASSIC 육포 Mild 130g","PRICE":"7130","UNIT":"1","":"7130","IMG":"코주부 CLASSIC 육포 Mild 130g.jpg"},</v>
      </c>
    </row>
    <row r="17" spans="2:11" ht="14.4" customHeight="1">
      <c r="B17" s="20">
        <v>14</v>
      </c>
      <c r="C17" s="14" t="s">
        <v>12</v>
      </c>
      <c r="D17" s="14" t="s">
        <v>13</v>
      </c>
      <c r="E17" s="18" t="s">
        <v>139</v>
      </c>
      <c r="F17" s="15">
        <v>6040</v>
      </c>
      <c r="G17" s="16">
        <v>1</v>
      </c>
      <c r="H17" s="17">
        <f t="shared" ref="H17" si="4">F17*G17</f>
        <v>6040</v>
      </c>
      <c r="I17" s="32" t="s">
        <v>140</v>
      </c>
      <c r="J17" s="19"/>
      <c r="K17" s="9" t="str">
        <f t="shared" ref="K17" si="5">_xlfn.CONCAT("{""",$B$3,""":""",B17,""",""",$C$3,""":""",C17,""",""",$D$3,""":""",D17,""",""",$E$3,""":""",E17,""",""",$F$3,""":""",F17,""",""",$G$3,""":""",G17,""",""",$H$3,""":""",H17,""",""",$I$3,""":""",I17,"""},")</f>
        <v>{"ITM_SEQ":"14","TYPE":"식품","TYPE_DTL":"과자","ITM_NM":"코주부 CLASSIC 육포 HOT &amp; SPICY 130g","PRICE":"6040","UNIT":"1","":"6040","IMG":"코주부 CLASSIC 육포 HOT &amp; SPICY 130g.jpg"},</v>
      </c>
    </row>
    <row r="18" spans="2:11" ht="14.4" customHeight="1">
      <c r="B18" s="13">
        <v>15</v>
      </c>
      <c r="C18" s="14" t="s">
        <v>12</v>
      </c>
      <c r="D18" s="14" t="s">
        <v>14</v>
      </c>
      <c r="E18" s="18" t="s">
        <v>86</v>
      </c>
      <c r="F18" s="15">
        <v>680</v>
      </c>
      <c r="G18" s="16">
        <v>20</v>
      </c>
      <c r="H18" s="17">
        <f t="shared" si="0"/>
        <v>13600</v>
      </c>
      <c r="I18" s="27" t="s">
        <v>33</v>
      </c>
      <c r="J18" s="19"/>
      <c r="K18" s="9" t="str">
        <f t="shared" si="1"/>
        <v>{"ITM_SEQ":"15","TYPE":"식품","TYPE_DTL":"음료","ITM_NM":"펩시제로슈거라임 500ml","PRICE":"680","UNIT":"20","":"13600","IMG":"펩시제로슈거라임 500ml.jpg"},</v>
      </c>
    </row>
    <row r="19" spans="2:11" ht="14.4" customHeight="1">
      <c r="B19" s="20">
        <v>16</v>
      </c>
      <c r="C19" s="14" t="s">
        <v>12</v>
      </c>
      <c r="D19" s="14" t="s">
        <v>14</v>
      </c>
      <c r="E19" s="18" t="s">
        <v>87</v>
      </c>
      <c r="F19" s="15">
        <v>710</v>
      </c>
      <c r="G19" s="16">
        <v>24</v>
      </c>
      <c r="H19" s="17">
        <f t="shared" si="0"/>
        <v>17040</v>
      </c>
      <c r="I19" s="27" t="s">
        <v>34</v>
      </c>
      <c r="J19" s="19"/>
      <c r="K19" s="9" t="str">
        <f t="shared" si="1"/>
        <v>{"ITM_SEQ":"16","TYPE":"식품","TYPE_DTL":"음료","ITM_NM":"핫식스더킹러쉬 355ml","PRICE":"710","UNIT":"24","":"17040","IMG":"핫식스더킹러쉬 355ml.jpg"},</v>
      </c>
    </row>
    <row r="20" spans="2:11" ht="14.4" customHeight="1">
      <c r="B20" s="13">
        <v>17</v>
      </c>
      <c r="C20" s="14" t="s">
        <v>12</v>
      </c>
      <c r="D20" s="14" t="s">
        <v>14</v>
      </c>
      <c r="E20" s="18" t="s">
        <v>88</v>
      </c>
      <c r="F20" s="15">
        <v>740</v>
      </c>
      <c r="G20" s="16">
        <v>24</v>
      </c>
      <c r="H20" s="17">
        <f t="shared" si="0"/>
        <v>17760</v>
      </c>
      <c r="I20" s="27" t="s">
        <v>36</v>
      </c>
      <c r="J20" s="19"/>
      <c r="K20" s="9" t="str">
        <f t="shared" si="1"/>
        <v>{"ITM_SEQ":"17","TYPE":"식품","TYPE_DTL":"음료","ITM_NM":"핫식스더킹파워 355ml","PRICE":"740","UNIT":"24","":"17760","IMG":"핫식스더킹파워 355ml.jpg"},</v>
      </c>
    </row>
    <row r="21" spans="2:11" ht="14.4" customHeight="1">
      <c r="B21" s="20">
        <v>18</v>
      </c>
      <c r="C21" s="14" t="s">
        <v>12</v>
      </c>
      <c r="D21" s="14" t="s">
        <v>14</v>
      </c>
      <c r="E21" s="18" t="s">
        <v>89</v>
      </c>
      <c r="F21" s="15">
        <v>1420</v>
      </c>
      <c r="G21" s="16">
        <v>24</v>
      </c>
      <c r="H21" s="17">
        <f t="shared" si="0"/>
        <v>34080</v>
      </c>
      <c r="I21" s="27" t="s">
        <v>37</v>
      </c>
      <c r="J21" s="19"/>
      <c r="K21" s="9" t="str">
        <f t="shared" si="1"/>
        <v>{"ITM_SEQ":"18","TYPE":"식품","TYPE_DTL":"음료","ITM_NM":"몬스터에너지 울트라 355ml","PRICE":"1420","UNIT":"24","":"34080","IMG":"몬스터에너지 울트라 355ml.jpg"},</v>
      </c>
    </row>
    <row r="22" spans="2:11" ht="14.4" customHeight="1">
      <c r="B22" s="13">
        <v>19</v>
      </c>
      <c r="C22" s="14" t="s">
        <v>12</v>
      </c>
      <c r="D22" s="14" t="s">
        <v>15</v>
      </c>
      <c r="E22" s="18" t="s">
        <v>90</v>
      </c>
      <c r="F22" s="15">
        <v>620</v>
      </c>
      <c r="G22" s="16">
        <v>36</v>
      </c>
      <c r="H22" s="17">
        <f t="shared" si="0"/>
        <v>22320</v>
      </c>
      <c r="I22" s="27" t="s">
        <v>38</v>
      </c>
      <c r="J22" s="19"/>
      <c r="K22" s="9" t="str">
        <f t="shared" si="1"/>
        <v>{"ITM_SEQ":"19","TYPE":"식품","TYPE_DTL":"즉석밥","ITM_NM":"햇반 130g","PRICE":"620","UNIT":"36","":"22320","IMG":"햇반 130g.jpg"},</v>
      </c>
    </row>
    <row r="23" spans="2:11" ht="14.4" customHeight="1">
      <c r="B23" s="20">
        <v>20</v>
      </c>
      <c r="C23" s="14" t="s">
        <v>12</v>
      </c>
      <c r="D23" s="14" t="s">
        <v>15</v>
      </c>
      <c r="E23" s="18" t="s">
        <v>127</v>
      </c>
      <c r="F23" s="15">
        <v>1100</v>
      </c>
      <c r="G23" s="16">
        <v>24</v>
      </c>
      <c r="H23" s="17">
        <f t="shared" ref="H23" si="6">F23*G23</f>
        <v>26400</v>
      </c>
      <c r="I23" s="32" t="s">
        <v>128</v>
      </c>
      <c r="J23" s="19"/>
      <c r="K23" s="9" t="str">
        <f t="shared" ref="K23" si="7">_xlfn.CONCAT("{""",$B$3,""":""",B23,""",""",$C$3,""":""",C23,""",""",$D$3,""":""",D23,""",""",$E$3,""":""",E23,""",""",$F$3,""":""",F23,""",""",$G$3,""":""",G23,""",""",$H$3,""":""",H23,""",""",$I$3,""":""",I23,"""},")</f>
        <v>{"ITM_SEQ":"20","TYPE":"식품","TYPE_DTL":"즉석밥","ITM_NM":"햇반 210g","PRICE":"1100","UNIT":"24","":"26400","IMG":"햇반 210g.jpg"},</v>
      </c>
    </row>
    <row r="24" spans="2:11" ht="14.4" customHeight="1">
      <c r="B24" s="13">
        <v>21</v>
      </c>
      <c r="C24" s="14" t="s">
        <v>12</v>
      </c>
      <c r="D24" s="14" t="s">
        <v>15</v>
      </c>
      <c r="E24" s="18" t="s">
        <v>129</v>
      </c>
      <c r="F24" s="15">
        <v>850</v>
      </c>
      <c r="G24" s="16">
        <v>24</v>
      </c>
      <c r="H24" s="17">
        <f t="shared" ref="H24:H27" si="8">F24*G24</f>
        <v>20400</v>
      </c>
      <c r="I24" s="32" t="s">
        <v>132</v>
      </c>
      <c r="J24" s="19"/>
      <c r="K24" s="9" t="str">
        <f t="shared" ref="K24:K27" si="9">_xlfn.CONCAT("{""",$B$3,""":""",B24,""",""",$C$3,""":""",C24,""",""",$D$3,""":""",D24,""",""",$E$3,""":""",E24,""",""",$F$3,""":""",F24,""",""",$G$3,""":""",G24,""",""",$H$3,""":""",H24,""",""",$I$3,""":""",I24,"""},")</f>
        <v>{"ITM_SEQ":"21","TYPE":"식품","TYPE_DTL":"즉석밥","ITM_NM":"맛있는 오뚜기밥 210g","PRICE":"850","UNIT":"24","":"20400","IMG":"맛있는 오뚜기밥 210g.png"},</v>
      </c>
    </row>
    <row r="25" spans="2:11" ht="14.4" customHeight="1">
      <c r="B25" s="20">
        <v>22</v>
      </c>
      <c r="C25" s="14" t="s">
        <v>12</v>
      </c>
      <c r="D25" s="14" t="s">
        <v>15</v>
      </c>
      <c r="E25" s="18" t="s">
        <v>133</v>
      </c>
      <c r="F25" s="15">
        <v>800</v>
      </c>
      <c r="G25" s="16">
        <v>24</v>
      </c>
      <c r="H25" s="17">
        <f>F25*G25</f>
        <v>19200</v>
      </c>
      <c r="I25" s="32" t="s">
        <v>136</v>
      </c>
      <c r="J25" s="19"/>
      <c r="K25" s="9" t="str">
        <f t="shared" ref="K25" si="10">_xlfn.CONCAT("{""",$B$3,""":""",B25,""",""",$C$3,""":""",C25,""",""",$D$3,""":""",D25,""",""",$E$3,""":""",E25,""",""",$F$3,""":""",F25,""",""",$G$3,""":""",G25,""",""",$H$3,""":""",H25,""",""",$I$3,""":""",I25,"""},")</f>
        <v>{"ITM_SEQ":"22","TYPE":"식품","TYPE_DTL":"즉석밥","ITM_NM":"햇반흑미밥 130g","PRICE":"800","UNIT":"24","":"19200","IMG":"햇반흑미밥 130g.jpg"},</v>
      </c>
    </row>
    <row r="26" spans="2:11" ht="14.4" customHeight="1">
      <c r="B26" s="13">
        <v>23</v>
      </c>
      <c r="C26" s="14" t="s">
        <v>12</v>
      </c>
      <c r="D26" s="14" t="s">
        <v>15</v>
      </c>
      <c r="E26" s="18" t="s">
        <v>134</v>
      </c>
      <c r="F26" s="15">
        <v>1010</v>
      </c>
      <c r="G26" s="16">
        <v>24</v>
      </c>
      <c r="H26" s="17">
        <f>F26*G26</f>
        <v>24240</v>
      </c>
      <c r="I26" s="32" t="s">
        <v>135</v>
      </c>
      <c r="J26" s="19"/>
      <c r="K26" s="9" t="str">
        <f t="shared" ref="K26" si="11">_xlfn.CONCAT("{""",$B$3,""":""",B26,""",""",$C$3,""":""",C26,""",""",$D$3,""":""",D26,""",""",$E$3,""":""",E26,""",""",$F$3,""":""",F26,""",""",$G$3,""":""",G26,""",""",$H$3,""":""",H26,""",""",$I$3,""":""",I26,"""},")</f>
        <v>{"ITM_SEQ":"23","TYPE":"식품","TYPE_DTL":"즉석밥","ITM_NM":"햇반 매일잡곡밥 210g","PRICE":"1010","UNIT":"24","":"24240","IMG":"햇반 매일잡곡밥 210g.jpg"},</v>
      </c>
    </row>
    <row r="27" spans="2:11" ht="14.4" customHeight="1">
      <c r="B27" s="20">
        <v>24</v>
      </c>
      <c r="C27" s="14" t="s">
        <v>12</v>
      </c>
      <c r="D27" s="33" t="s">
        <v>130</v>
      </c>
      <c r="E27" s="18" t="s">
        <v>141</v>
      </c>
      <c r="F27" s="15">
        <v>530</v>
      </c>
      <c r="G27" s="16">
        <v>15</v>
      </c>
      <c r="H27" s="17">
        <f t="shared" si="8"/>
        <v>7950</v>
      </c>
      <c r="I27" s="32" t="s">
        <v>142</v>
      </c>
      <c r="J27" s="19"/>
      <c r="K27" s="9" t="str">
        <f t="shared" si="9"/>
        <v>{"ITM_SEQ":"24","TYPE":"식품","TYPE_DTL":"라면","ITM_NM":"오뚜기 컵누들 매콤한 맛","PRICE":"530","UNIT":"15","":"7950","IMG":"오뚜기 컵누들 매콤한 맛.jpg"},</v>
      </c>
    </row>
    <row r="28" spans="2:11" ht="14.4" customHeight="1">
      <c r="B28" s="13">
        <v>25</v>
      </c>
      <c r="C28" s="14" t="s">
        <v>12</v>
      </c>
      <c r="D28" s="14" t="s">
        <v>16</v>
      </c>
      <c r="E28" s="18" t="s">
        <v>91</v>
      </c>
      <c r="F28" s="15">
        <v>2550</v>
      </c>
      <c r="G28" s="16">
        <v>1</v>
      </c>
      <c r="H28" s="17">
        <f t="shared" si="0"/>
        <v>2550</v>
      </c>
      <c r="I28" s="27" t="s">
        <v>39</v>
      </c>
      <c r="J28" s="19"/>
      <c r="K28" s="9" t="str">
        <f t="shared" si="1"/>
        <v>{"ITM_SEQ":"25","TYPE":"식품","TYPE_DTL":"차","ITM_NM":"쟈뎅 아워티 콤푸차 레몬 10p","PRICE":"2550","UNIT":"1","":"2550","IMG":"쟈뎅 아워티 콤푸차 레몬 10p.jpg"},</v>
      </c>
    </row>
    <row r="29" spans="2:11" ht="14.4" customHeight="1">
      <c r="B29" s="20">
        <v>26</v>
      </c>
      <c r="C29" s="14" t="s">
        <v>12</v>
      </c>
      <c r="D29" s="14" t="s">
        <v>16</v>
      </c>
      <c r="E29" s="18" t="s">
        <v>92</v>
      </c>
      <c r="F29" s="15">
        <v>2550</v>
      </c>
      <c r="G29" s="16">
        <v>1</v>
      </c>
      <c r="H29" s="17">
        <f t="shared" si="0"/>
        <v>2550</v>
      </c>
      <c r="I29" s="27" t="s">
        <v>40</v>
      </c>
      <c r="J29" s="19"/>
      <c r="K29" s="9" t="str">
        <f t="shared" si="1"/>
        <v>{"ITM_SEQ":"26","TYPE":"식품","TYPE_DTL":"차","ITM_NM":"쟈뎅 아워티 콤푸차 베리 10p","PRICE":"2550","UNIT":"1","":"2550","IMG":"쟈뎅 아워티 콤푸차 베리 10p.jpg"},</v>
      </c>
    </row>
    <row r="30" spans="2:11" ht="14.4" customHeight="1">
      <c r="B30" s="13">
        <v>27</v>
      </c>
      <c r="C30" s="14" t="s">
        <v>12</v>
      </c>
      <c r="D30" s="14" t="s">
        <v>16</v>
      </c>
      <c r="E30" s="18" t="s">
        <v>93</v>
      </c>
      <c r="F30" s="15">
        <v>2550</v>
      </c>
      <c r="G30" s="16">
        <v>1</v>
      </c>
      <c r="H30" s="17">
        <f t="shared" si="0"/>
        <v>2550</v>
      </c>
      <c r="I30" s="26" t="s">
        <v>94</v>
      </c>
      <c r="J30" s="19"/>
      <c r="K30" s="9" t="str">
        <f t="shared" si="1"/>
        <v>{"ITM_SEQ":"27","TYPE":"식품","TYPE_DTL":"차","ITM_NM":"쟈뎅 아워티 콤푸차 자몽 10p","PRICE":"2550","UNIT":"1","":"2550","IMG":"쟈뎅 아워티 콤푸차 자몽 10p.png"},</v>
      </c>
    </row>
    <row r="31" spans="2:11" ht="14.4" customHeight="1">
      <c r="B31" s="20">
        <v>28</v>
      </c>
      <c r="C31" s="14" t="s">
        <v>12</v>
      </c>
      <c r="D31" s="14" t="s">
        <v>17</v>
      </c>
      <c r="E31" s="18" t="s">
        <v>95</v>
      </c>
      <c r="F31" s="15">
        <v>570</v>
      </c>
      <c r="G31" s="16">
        <v>8</v>
      </c>
      <c r="H31" s="17">
        <f t="shared" si="0"/>
        <v>4560</v>
      </c>
      <c r="I31" s="27" t="s">
        <v>41</v>
      </c>
      <c r="J31" s="19"/>
      <c r="K31" s="9" t="str">
        <f t="shared" si="1"/>
        <v>{"ITM_SEQ":"28","TYPE":"식품","TYPE_DTL":"캔디","ITM_NM":"박카스맛젤리","PRICE":"570","UNIT":"8","":"4560","IMG":"박카스맛젤리.jpg"},</v>
      </c>
    </row>
    <row r="32" spans="2:11" ht="14.4" customHeight="1">
      <c r="B32" s="13">
        <v>29</v>
      </c>
      <c r="C32" s="14" t="s">
        <v>12</v>
      </c>
      <c r="D32" s="14" t="s">
        <v>17</v>
      </c>
      <c r="E32" s="18" t="s">
        <v>96</v>
      </c>
      <c r="F32" s="15">
        <v>960</v>
      </c>
      <c r="G32" s="16">
        <v>8</v>
      </c>
      <c r="H32" s="17">
        <f t="shared" si="0"/>
        <v>7680</v>
      </c>
      <c r="I32" s="27" t="s">
        <v>42</v>
      </c>
      <c r="J32" s="19"/>
      <c r="K32" s="9" t="str">
        <f t="shared" si="1"/>
        <v>{"ITM_SEQ":"29","TYPE":"식품","TYPE_DTL":"캔디","ITM_NM":"이클립스 페퍼민트향 34g","PRICE":"960","UNIT":"8","":"7680","IMG":"이클립스 페퍼민트향 34g.jpg"},</v>
      </c>
    </row>
    <row r="33" spans="2:11" ht="14.4" customHeight="1">
      <c r="B33" s="20">
        <v>30</v>
      </c>
      <c r="C33" s="14" t="s">
        <v>12</v>
      </c>
      <c r="D33" s="14" t="s">
        <v>17</v>
      </c>
      <c r="E33" s="18" t="s">
        <v>97</v>
      </c>
      <c r="F33" s="15">
        <v>990</v>
      </c>
      <c r="G33" s="16">
        <v>8</v>
      </c>
      <c r="H33" s="17">
        <f t="shared" si="0"/>
        <v>7920</v>
      </c>
      <c r="I33" s="27" t="s">
        <v>43</v>
      </c>
      <c r="J33" s="19"/>
      <c r="K33" s="9" t="str">
        <f t="shared" si="1"/>
        <v>{"ITM_SEQ":"30","TYPE":"식품","TYPE_DTL":"캔디","ITM_NM":"이클립스 피치향 34g","PRICE":"990","UNIT":"8","":"7920","IMG":"이클립스 피치향 34g.jpg"},</v>
      </c>
    </row>
    <row r="34" spans="2:11" ht="14.4" customHeight="1">
      <c r="B34" s="13">
        <v>31</v>
      </c>
      <c r="C34" s="14" t="s">
        <v>12</v>
      </c>
      <c r="D34" s="14" t="s">
        <v>27</v>
      </c>
      <c r="E34" s="14" t="s">
        <v>98</v>
      </c>
      <c r="F34" s="15">
        <v>36960</v>
      </c>
      <c r="G34" s="16">
        <v>1</v>
      </c>
      <c r="H34" s="17">
        <f t="shared" si="0"/>
        <v>36960</v>
      </c>
      <c r="I34" s="27" t="s">
        <v>99</v>
      </c>
      <c r="J34" s="19"/>
      <c r="K34" s="9" t="str">
        <f t="shared" si="1"/>
        <v>{"ITM_SEQ":"31","TYPE":"식품","TYPE_DTL":"영양제","ITM_NM":"맥스빌더","PRICE":"36960","UNIT":"1","":"36960","IMG":"맥스빌더.jpg"},</v>
      </c>
    </row>
    <row r="35" spans="2:11" ht="14.4" customHeight="1">
      <c r="B35" s="20">
        <v>32</v>
      </c>
      <c r="C35" s="14" t="s">
        <v>12</v>
      </c>
      <c r="D35" s="14" t="s">
        <v>113</v>
      </c>
      <c r="E35" s="14" t="s">
        <v>114</v>
      </c>
      <c r="F35" s="15">
        <v>440</v>
      </c>
      <c r="G35" s="16">
        <v>12</v>
      </c>
      <c r="H35" s="17">
        <f t="shared" si="0"/>
        <v>5280</v>
      </c>
      <c r="I35" s="27" t="s">
        <v>115</v>
      </c>
      <c r="J35" s="19"/>
      <c r="K35" s="9" t="str">
        <f t="shared" si="1"/>
        <v>{"ITM_SEQ":"32","TYPE":"식품","TYPE_DTL":"소세지","ITM_NM":"롯데햄 키스틱 더블치즈 소시지","PRICE":"440","UNIT":"12","":"5280","IMG":"롯데햄 키스틱 더블치즈 소시지.jpg"},</v>
      </c>
    </row>
    <row r="36" spans="2:11" ht="14.4" customHeight="1">
      <c r="B36" s="13">
        <v>33</v>
      </c>
      <c r="C36" s="14" t="s">
        <v>12</v>
      </c>
      <c r="D36" s="14" t="s">
        <v>113</v>
      </c>
      <c r="E36" s="14" t="s">
        <v>116</v>
      </c>
      <c r="F36" s="15">
        <v>660</v>
      </c>
      <c r="G36" s="16">
        <v>12</v>
      </c>
      <c r="H36" s="17">
        <f t="shared" si="0"/>
        <v>7920</v>
      </c>
      <c r="I36" s="27" t="s">
        <v>117</v>
      </c>
      <c r="J36" s="19"/>
      <c r="K36" s="9" t="str">
        <f t="shared" si="1"/>
        <v>{"ITM_SEQ":"33","TYPE":"식품","TYPE_DTL":"소세지","ITM_NM":"키스틱","PRICE":"660","UNIT":"12","":"7920","IMG":"키스틱.jpg"},</v>
      </c>
    </row>
    <row r="37" spans="2:11" ht="14.4" customHeight="1">
      <c r="B37" s="20">
        <v>34</v>
      </c>
      <c r="C37" s="14" t="s">
        <v>12</v>
      </c>
      <c r="D37" s="14" t="s">
        <v>118</v>
      </c>
      <c r="E37" s="30" t="s">
        <v>121</v>
      </c>
      <c r="F37" s="15">
        <v>960</v>
      </c>
      <c r="G37" s="16">
        <v>10</v>
      </c>
      <c r="H37" s="17">
        <f t="shared" si="0"/>
        <v>9600</v>
      </c>
      <c r="I37" s="31" t="s">
        <v>123</v>
      </c>
      <c r="J37" s="19"/>
      <c r="K37" s="9" t="str">
        <f t="shared" si="1"/>
        <v>{"ITM_SEQ":"34","TYPE":"식품","TYPE_DTL":"쉐이크","ITM_NM":"퀘이커 마시는오트밀 오트&amp;그레인, 50g","PRICE":"960","UNIT":"10","":"9600","IMG":"퀘이커 마시는오트밀 오트&amp;그레인, 50g.jpg"},</v>
      </c>
    </row>
    <row r="38" spans="2:11" ht="14.4" customHeight="1">
      <c r="B38" s="13">
        <v>35</v>
      </c>
      <c r="C38" s="14" t="s">
        <v>12</v>
      </c>
      <c r="D38" s="14" t="s">
        <v>118</v>
      </c>
      <c r="E38" s="30" t="s">
        <v>122</v>
      </c>
      <c r="F38" s="15">
        <v>940</v>
      </c>
      <c r="G38" s="16">
        <v>10</v>
      </c>
      <c r="H38" s="17">
        <f t="shared" ref="H38" si="12">F38*G38</f>
        <v>9400</v>
      </c>
      <c r="I38" s="31" t="s">
        <v>124</v>
      </c>
      <c r="J38" s="19"/>
      <c r="K38" s="9" t="str">
        <f t="shared" si="1"/>
        <v>{"ITM_SEQ":"35","TYPE":"식품","TYPE_DTL":"쉐이크","ITM_NM":"퀘이커 마시는 오트밀 오트&amp;우리쌀, 50g","PRICE":"940","UNIT":"10","":"9400","IMG":"퀘이커 마시는 오트밀 오트&amp;우리쌀, 50g.jpg"},</v>
      </c>
    </row>
    <row r="39" spans="2:11" ht="14.4" customHeight="1">
      <c r="B39" s="20">
        <v>36</v>
      </c>
      <c r="C39" s="14" t="s">
        <v>12</v>
      </c>
      <c r="D39" s="14" t="s">
        <v>118</v>
      </c>
      <c r="E39" s="30" t="s">
        <v>119</v>
      </c>
      <c r="F39" s="15">
        <v>1390</v>
      </c>
      <c r="G39" s="16">
        <v>10</v>
      </c>
      <c r="H39" s="17">
        <f t="shared" ref="H39:H40" si="13">F39*G39</f>
        <v>13900</v>
      </c>
      <c r="I39" s="31" t="s">
        <v>120</v>
      </c>
      <c r="J39" s="19"/>
      <c r="K39" s="9" t="str">
        <f t="shared" si="1"/>
        <v>{"ITM_SEQ":"36","TYPE":"식품","TYPE_DTL":"쉐이크","ITM_NM":"퀘이커 마시는 오트밀 단백질, 80g","PRICE":"1390","UNIT":"10","":"13900","IMG":"퀘이커 마시는 오트밀 단백질, 80g.jpg"},</v>
      </c>
    </row>
    <row r="40" spans="2:11" ht="14.4" customHeight="1">
      <c r="B40" s="13">
        <v>37</v>
      </c>
      <c r="C40" s="14" t="s">
        <v>12</v>
      </c>
      <c r="D40" s="14" t="s">
        <v>118</v>
      </c>
      <c r="E40" s="30" t="s">
        <v>125</v>
      </c>
      <c r="F40" s="15">
        <v>1080</v>
      </c>
      <c r="G40" s="16">
        <v>10</v>
      </c>
      <c r="H40" s="17">
        <f t="shared" si="13"/>
        <v>10800</v>
      </c>
      <c r="I40" s="31" t="s">
        <v>126</v>
      </c>
      <c r="J40" s="19"/>
      <c r="K40" s="9" t="str">
        <f t="shared" si="1"/>
        <v>{"ITM_SEQ":"37","TYPE":"식품","TYPE_DTL":"쉐이크","ITM_NM":"퀘이커 마시는 오트밀 찰옥수수, 50g","PRICE":"1080","UNIT":"10","":"10800","IMG":"퀘이커 마시는 오트밀 찰옥수수, 50g.jpg"},</v>
      </c>
    </row>
    <row r="41" spans="2:11" ht="14.4" customHeight="1">
      <c r="B41" s="20">
        <v>38</v>
      </c>
      <c r="C41" s="14" t="s">
        <v>18</v>
      </c>
      <c r="D41" s="14" t="s">
        <v>19</v>
      </c>
      <c r="E41" s="14" t="s">
        <v>100</v>
      </c>
      <c r="F41" s="15">
        <v>480</v>
      </c>
      <c r="G41" s="16">
        <v>10</v>
      </c>
      <c r="H41" s="17">
        <f t="shared" si="0"/>
        <v>4800</v>
      </c>
      <c r="I41" s="27" t="s">
        <v>44</v>
      </c>
      <c r="J41" s="19"/>
      <c r="K41" s="9" t="str">
        <f t="shared" si="1"/>
        <v>{"ITM_SEQ":"38","TYPE":"화장품","TYPE_DTL":"마스크팩","ITM_NM":"SNP 골드 콜라겐 앰플 마스크","PRICE":"480","UNIT":"10","":"4800","IMG":"SNP 골드 콜라겐 앰플 마스크.jpg"},</v>
      </c>
    </row>
    <row r="42" spans="2:11" ht="14.4" customHeight="1">
      <c r="B42" s="13">
        <v>39</v>
      </c>
      <c r="C42" s="14" t="s">
        <v>18</v>
      </c>
      <c r="D42" s="14" t="s">
        <v>19</v>
      </c>
      <c r="E42" s="18" t="s">
        <v>101</v>
      </c>
      <c r="F42" s="15">
        <v>700</v>
      </c>
      <c r="G42" s="16">
        <v>10</v>
      </c>
      <c r="H42" s="17">
        <f t="shared" si="0"/>
        <v>7000</v>
      </c>
      <c r="I42" s="27" t="s">
        <v>45</v>
      </c>
      <c r="J42" s="19"/>
      <c r="K42" s="9" t="str">
        <f t="shared" si="1"/>
        <v>{"ITM_SEQ":"39","TYPE":"화장품","TYPE_DTL":"마스크팩","ITM_NM":"메디힐 디엔에이 프로아틴 마스크","PRICE":"700","UNIT":"10","":"7000","IMG":"메디힐 디엔에이 프로아틴 마스크.jpg"},</v>
      </c>
    </row>
    <row r="43" spans="2:11" ht="14.4" customHeight="1">
      <c r="B43" s="20">
        <v>40</v>
      </c>
      <c r="C43" s="14" t="s">
        <v>18</v>
      </c>
      <c r="D43" s="14" t="s">
        <v>20</v>
      </c>
      <c r="E43" s="18" t="s">
        <v>102</v>
      </c>
      <c r="F43" s="15">
        <v>4750</v>
      </c>
      <c r="G43" s="16">
        <v>1</v>
      </c>
      <c r="H43" s="17">
        <f t="shared" si="0"/>
        <v>4750</v>
      </c>
      <c r="I43" s="27" t="s">
        <v>46</v>
      </c>
      <c r="J43" s="19"/>
      <c r="K43" s="9" t="str">
        <f t="shared" si="1"/>
        <v>{"ITM_SEQ":"40","TYPE":"화장품","TYPE_DTL":"선크림","ITM_NM":"닥터지 메디유브이 울트라 선 50ml","PRICE":"4750","UNIT":"1","":"4750","IMG":"닥터지 메디유브이 울트라 선 50ml.jpg"},</v>
      </c>
    </row>
    <row r="44" spans="2:11" ht="14.4" customHeight="1">
      <c r="B44" s="13">
        <v>41</v>
      </c>
      <c r="C44" s="14" t="s">
        <v>18</v>
      </c>
      <c r="D44" s="14" t="s">
        <v>20</v>
      </c>
      <c r="E44" s="14" t="s">
        <v>103</v>
      </c>
      <c r="F44" s="15">
        <v>8800</v>
      </c>
      <c r="G44" s="16">
        <v>1</v>
      </c>
      <c r="H44" s="17">
        <f t="shared" si="0"/>
        <v>8800</v>
      </c>
      <c r="I44" s="27" t="s">
        <v>47</v>
      </c>
      <c r="J44" s="19"/>
      <c r="K44" s="9" t="str">
        <f t="shared" si="1"/>
        <v>{"ITM_SEQ":"41","TYPE":"화장품","TYPE_DTL":"선크림","ITM_NM":"AHC 내추럴 퍼펙션 프레쉬선스틱","PRICE":"8800","UNIT":"1","":"8800","IMG":"AHC 내추럴 퍼펙션 프레쉬선스틱.jpg"},</v>
      </c>
    </row>
    <row r="45" spans="2:11" ht="14.4" customHeight="1">
      <c r="B45" s="20">
        <v>42</v>
      </c>
      <c r="C45" s="14" t="s">
        <v>18</v>
      </c>
      <c r="D45" s="14" t="s">
        <v>21</v>
      </c>
      <c r="E45" s="14" t="s">
        <v>104</v>
      </c>
      <c r="F45" s="15">
        <v>5560</v>
      </c>
      <c r="G45" s="16">
        <v>1</v>
      </c>
      <c r="H45" s="17">
        <f t="shared" si="0"/>
        <v>5560</v>
      </c>
      <c r="I45" s="27" t="s">
        <v>48</v>
      </c>
      <c r="J45" s="19"/>
      <c r="K45" s="9" t="str">
        <f t="shared" si="1"/>
        <v>{"ITM_SEQ":"42","TYPE":"화장품","TYPE_DTL":"아이크림","ITM_NM":"AHC프라이빗 리얼아이크림기프트세트","PRICE":"5560","UNIT":"1","":"5560","IMG":"AHC프라이빗 리얼아이크림기프트세트.jpg"},</v>
      </c>
    </row>
    <row r="46" spans="2:11" ht="14.4" customHeight="1">
      <c r="B46" s="13">
        <v>43</v>
      </c>
      <c r="C46" s="14" t="s">
        <v>18</v>
      </c>
      <c r="D46" s="14" t="s">
        <v>22</v>
      </c>
      <c r="E46" s="18" t="s">
        <v>105</v>
      </c>
      <c r="F46" s="15">
        <v>4710</v>
      </c>
      <c r="G46" s="16">
        <v>1</v>
      </c>
      <c r="H46" s="17">
        <f t="shared" si="0"/>
        <v>4710</v>
      </c>
      <c r="I46" s="27" t="s">
        <v>49</v>
      </c>
      <c r="J46" s="19"/>
      <c r="K46" s="9" t="str">
        <f t="shared" si="1"/>
        <v>{"ITM_SEQ":"43","TYPE":"화장품","TYPE_DTL":"영양크림","ITM_NM":"마녀공장 비피다 바이옴 수분 장벽 강화 크림 기획세트","PRICE":"4710","UNIT":"1","":"4710","IMG":"마녀공장 비피다 바이옴 수분 장벽 강화 크림 기획세트.jpg"},</v>
      </c>
    </row>
    <row r="47" spans="2:11" ht="14.4" customHeight="1">
      <c r="B47" s="20">
        <v>44</v>
      </c>
      <c r="C47" s="14" t="s">
        <v>18</v>
      </c>
      <c r="D47" s="14" t="s">
        <v>22</v>
      </c>
      <c r="E47" s="18" t="s">
        <v>106</v>
      </c>
      <c r="F47" s="15">
        <v>7900</v>
      </c>
      <c r="G47" s="16">
        <v>1</v>
      </c>
      <c r="H47" s="17">
        <f t="shared" si="0"/>
        <v>7900</v>
      </c>
      <c r="I47" s="27" t="s">
        <v>50</v>
      </c>
      <c r="J47" s="19"/>
      <c r="K47" s="9" t="str">
        <f t="shared" si="1"/>
        <v>{"ITM_SEQ":"44","TYPE":"화장품","TYPE_DTL":"영양크림","ITM_NM":"이니스프리 퍼펙트9인텐시브 크림","PRICE":"7900","UNIT":"1","":"7900","IMG":"이니스프리 퍼펙트9인텐시브 크림.jpg"},</v>
      </c>
    </row>
    <row r="48" spans="2:11" ht="14.4" customHeight="1">
      <c r="B48" s="13">
        <v>45</v>
      </c>
      <c r="C48" s="14" t="s">
        <v>18</v>
      </c>
      <c r="D48" s="14" t="s">
        <v>22</v>
      </c>
      <c r="E48" s="18" t="s">
        <v>107</v>
      </c>
      <c r="F48" s="15">
        <v>10080</v>
      </c>
      <c r="G48" s="16">
        <v>1</v>
      </c>
      <c r="H48" s="17">
        <f t="shared" si="0"/>
        <v>10080</v>
      </c>
      <c r="I48" s="27" t="s">
        <v>51</v>
      </c>
      <c r="J48" s="19"/>
      <c r="K48" s="9" t="str">
        <f t="shared" si="1"/>
        <v>{"ITM_SEQ":"45","TYPE":"화장품","TYPE_DTL":"영양크림","ITM_NM":"닥터지 로얄 블랙스네일 크림","PRICE":"10080","UNIT":"1","":"10080","IMG":"닥터지 로얄 블랙스네일 크림.jpg"},</v>
      </c>
    </row>
    <row r="49" spans="2:11" ht="14.4" customHeight="1">
      <c r="B49" s="20">
        <v>46</v>
      </c>
      <c r="C49" s="14" t="s">
        <v>18</v>
      </c>
      <c r="D49" s="14" t="s">
        <v>22</v>
      </c>
      <c r="E49" s="18" t="s">
        <v>108</v>
      </c>
      <c r="F49" s="15">
        <v>14090</v>
      </c>
      <c r="G49" s="16">
        <v>1</v>
      </c>
      <c r="H49" s="17">
        <f t="shared" si="0"/>
        <v>14090</v>
      </c>
      <c r="I49" s="27" t="s">
        <v>52</v>
      </c>
      <c r="J49" s="19"/>
      <c r="K49" s="9" t="str">
        <f t="shared" si="1"/>
        <v>{"ITM_SEQ":"46","TYPE":"화장품","TYPE_DTL":"영양크림","ITM_NM":"아이소이 탄력크림EX","PRICE":"14090","UNIT":"1","":"14090","IMG":"아이소이 탄력크림EX.jpg"},</v>
      </c>
    </row>
    <row r="50" spans="2:11" ht="14.4" customHeight="1">
      <c r="B50" s="13">
        <v>47</v>
      </c>
      <c r="C50" s="14" t="s">
        <v>18</v>
      </c>
      <c r="D50" s="14" t="s">
        <v>22</v>
      </c>
      <c r="E50" s="18" t="s">
        <v>109</v>
      </c>
      <c r="F50" s="15">
        <v>38930</v>
      </c>
      <c r="G50" s="16">
        <v>1</v>
      </c>
      <c r="H50" s="17">
        <f t="shared" si="0"/>
        <v>38930</v>
      </c>
      <c r="I50" s="27" t="s">
        <v>53</v>
      </c>
      <c r="J50" s="19" t="s">
        <v>23</v>
      </c>
      <c r="K50" s="9" t="str">
        <f t="shared" si="1"/>
        <v>{"ITM_SEQ":"47","TYPE":"화장품","TYPE_DTL":"영양크림","ITM_NM":"다이아몬드 리페어 퍼펙트 세트","PRICE":"38930","UNIT":"1","":"38930","IMG":"다이아몬드 리페어 퍼펙트 세트.jpg"},</v>
      </c>
    </row>
    <row r="51" spans="2:11" ht="14.4" customHeight="1">
      <c r="B51" s="20">
        <v>48</v>
      </c>
      <c r="C51" s="14" t="s">
        <v>18</v>
      </c>
      <c r="D51" s="14" t="s">
        <v>24</v>
      </c>
      <c r="E51" s="18" t="s">
        <v>110</v>
      </c>
      <c r="F51" s="15">
        <v>4320</v>
      </c>
      <c r="G51" s="16">
        <v>1</v>
      </c>
      <c r="H51" s="17">
        <f t="shared" si="0"/>
        <v>4320</v>
      </c>
      <c r="I51" s="27" t="s">
        <v>54</v>
      </c>
      <c r="J51" s="19"/>
      <c r="K51" s="9" t="str">
        <f t="shared" si="1"/>
        <v>{"ITM_SEQ":"48","TYPE":"화장품","TYPE_DTL":"폼클렌징","ITM_NM":"닥터지 레드 블레미쉬 모이스처 클렌징 폼","PRICE":"4320","UNIT":"1","":"4320","IMG":"닥터지 레드 블레미쉬 모이스처 클렌징 폼.jpg"},</v>
      </c>
    </row>
    <row r="52" spans="2:11" ht="14.4" customHeight="1">
      <c r="B52" s="13">
        <v>49</v>
      </c>
      <c r="C52" s="14" t="s">
        <v>18</v>
      </c>
      <c r="D52" s="14" t="s">
        <v>24</v>
      </c>
      <c r="E52" s="18" t="s">
        <v>111</v>
      </c>
      <c r="F52" s="15">
        <v>4390</v>
      </c>
      <c r="G52" s="16">
        <v>1</v>
      </c>
      <c r="H52" s="17">
        <f t="shared" si="0"/>
        <v>4390</v>
      </c>
      <c r="I52" s="27" t="s">
        <v>55</v>
      </c>
      <c r="J52" s="19"/>
      <c r="K52" s="9" t="str">
        <f t="shared" si="1"/>
        <v>{"ITM_SEQ":"49","TYPE":"화장품","TYPE_DTL":"폼클렌징","ITM_NM":"뉴트로지나 딥클린 아크네 포밍","PRICE":"4390","UNIT":"1","":"4390","IMG":"뉴트로지나 딥클린 아크네 포밍.jpg"},</v>
      </c>
    </row>
    <row r="53" spans="2:11" ht="14.4" customHeight="1">
      <c r="B53" s="20">
        <v>50</v>
      </c>
      <c r="C53" s="14" t="s">
        <v>18</v>
      </c>
      <c r="D53" s="33" t="s">
        <v>169</v>
      </c>
      <c r="E53" s="18" t="s">
        <v>170</v>
      </c>
      <c r="F53" s="15">
        <v>10140</v>
      </c>
      <c r="G53" s="16">
        <v>1</v>
      </c>
      <c r="H53" s="17">
        <f t="shared" ref="H53" si="14">F53*G53</f>
        <v>10140</v>
      </c>
      <c r="I53" s="32" t="s">
        <v>171</v>
      </c>
      <c r="J53" s="19"/>
      <c r="K53" s="9" t="str">
        <f t="shared" ref="K53" si="15">_xlfn.CONCAT("{""",$B$3,""":""",B53,""",""",$C$3,""":""",C53,""",""",$D$3,""":""",D53,""",""",$E$3,""":""",E53,""",""",$F$3,""":""",F53,""",""",$G$3,""":""",G53,""",""",$H$3,""":""",H53,""",""",$I$3,""":""",I53,"""},")</f>
        <v>{"ITM_SEQ":"50","TYPE":"화장품","TYPE_DTL":"토너","ITM_NM":"닥터지 레드 블레미쉬 클리어 수딩 토너, 500ml","PRICE":"10140","UNIT":"1","":"10140","IMG":"닥터지 레드 블레미쉬 클리어 수딩 토너, 500ml.jpg"},</v>
      </c>
    </row>
    <row r="54" spans="2:11" ht="14.4" customHeight="1">
      <c r="B54" s="9"/>
      <c r="C54" s="9"/>
      <c r="D54" s="9"/>
      <c r="E54" s="9"/>
      <c r="F54" s="9"/>
      <c r="G54" s="9"/>
      <c r="H54" s="9"/>
      <c r="I54" s="28"/>
      <c r="J54" s="9"/>
      <c r="K54" s="9" t="s">
        <v>112</v>
      </c>
    </row>
    <row r="55" spans="2:11" ht="14.4" customHeight="1">
      <c r="B55" s="9"/>
      <c r="C55" s="9"/>
      <c r="D55" s="9"/>
      <c r="E55" s="9"/>
      <c r="F55" s="9"/>
      <c r="G55" s="9"/>
      <c r="H55" s="9"/>
      <c r="I55" s="28"/>
      <c r="J55" s="9"/>
      <c r="K55" s="9"/>
    </row>
    <row r="56" spans="2:11" ht="14.4" customHeight="1">
      <c r="B56" s="9"/>
      <c r="C56" s="9"/>
      <c r="D56" s="9"/>
      <c r="E56" s="9"/>
      <c r="F56" s="9"/>
      <c r="G56" s="9"/>
      <c r="H56" s="9"/>
      <c r="I56" s="28"/>
      <c r="J56" s="9"/>
      <c r="K56" s="9"/>
    </row>
    <row r="57" spans="2:11" ht="14.4" customHeight="1">
      <c r="B57" s="9"/>
      <c r="C57" s="1" t="s">
        <v>25</v>
      </c>
      <c r="D57" s="4"/>
      <c r="E57" s="4" t="s">
        <v>26</v>
      </c>
      <c r="F57" s="21">
        <v>1000</v>
      </c>
      <c r="G57" s="22">
        <v>24</v>
      </c>
      <c r="H57" s="4"/>
      <c r="I57" s="29"/>
      <c r="J57" s="23"/>
      <c r="K57" s="9"/>
    </row>
    <row r="58" spans="2:11" ht="14.4" customHeight="1">
      <c r="B58" s="9"/>
      <c r="C58" s="24" t="s">
        <v>27</v>
      </c>
      <c r="D58" s="14"/>
      <c r="E58" s="14" t="s">
        <v>28</v>
      </c>
      <c r="F58" s="15">
        <v>9240</v>
      </c>
      <c r="G58" s="16">
        <v>1</v>
      </c>
      <c r="H58" s="14"/>
      <c r="I58" s="27"/>
      <c r="J58" s="19"/>
      <c r="K58" s="9"/>
    </row>
    <row r="59" spans="2:11" ht="14.4" customHeight="1">
      <c r="B59" s="9"/>
      <c r="C59" s="24"/>
      <c r="D59" s="14"/>
      <c r="E59" s="14"/>
      <c r="F59" s="19"/>
      <c r="G59" s="19"/>
      <c r="H59" s="14"/>
      <c r="I59" s="27"/>
      <c r="J59" s="19"/>
      <c r="K59" s="9"/>
    </row>
    <row r="60" spans="2:11" ht="14.4" customHeight="1">
      <c r="B60" s="9"/>
      <c r="C60" s="24"/>
      <c r="D60" s="14"/>
      <c r="E60" s="14"/>
      <c r="F60" s="19"/>
      <c r="G60" s="19"/>
      <c r="H60" s="14"/>
      <c r="I60" s="27"/>
      <c r="J60" s="19"/>
      <c r="K60" s="9"/>
    </row>
    <row r="61" spans="2:11" ht="14.4" customHeight="1">
      <c r="B61" s="9"/>
      <c r="C61" s="24"/>
      <c r="D61" s="14"/>
      <c r="E61" s="14"/>
      <c r="F61" s="19"/>
      <c r="G61" s="19"/>
      <c r="H61" s="14"/>
      <c r="I61" s="27"/>
      <c r="J61" s="19"/>
      <c r="K61" s="9"/>
    </row>
    <row r="62" spans="2:11" ht="14.4" customHeight="1">
      <c r="B62" s="9"/>
      <c r="C62" s="24"/>
      <c r="D62" s="14"/>
      <c r="E62" s="14"/>
      <c r="F62" s="19"/>
      <c r="G62" s="19"/>
      <c r="H62" s="14"/>
      <c r="I62" s="27"/>
      <c r="J62" s="19"/>
      <c r="K62" s="9"/>
    </row>
    <row r="63" spans="2:11" ht="14.4" customHeight="1">
      <c r="B63" s="9"/>
      <c r="C63" s="24"/>
      <c r="D63" s="14"/>
      <c r="E63" s="14"/>
      <c r="F63" s="19"/>
      <c r="G63" s="19"/>
      <c r="H63" s="14"/>
      <c r="I63" s="27"/>
      <c r="J63" s="19"/>
      <c r="K63" s="9"/>
    </row>
    <row r="64" spans="2:11" ht="14.4" customHeight="1">
      <c r="B64" s="9"/>
      <c r="C64" s="24"/>
      <c r="D64" s="14"/>
      <c r="E64" s="14"/>
      <c r="F64" s="19"/>
      <c r="G64" s="19"/>
      <c r="H64" s="14"/>
      <c r="I64" s="27"/>
      <c r="J64" s="19"/>
      <c r="K64" s="9"/>
    </row>
    <row r="65" spans="7:7" ht="14.4" customHeight="1">
      <c r="G65" s="3"/>
    </row>
    <row r="66" spans="7:7" ht="14.4" customHeight="1">
      <c r="G66" s="3"/>
    </row>
    <row r="67" spans="7:7" ht="14.4" customHeight="1">
      <c r="G67" s="3"/>
    </row>
    <row r="68" spans="7:7" ht="14.4" customHeight="1">
      <c r="G68" s="3"/>
    </row>
    <row r="69" spans="7:7" ht="14.4" customHeight="1">
      <c r="G69" s="3"/>
    </row>
    <row r="70" spans="7:7" ht="14.4" customHeight="1">
      <c r="G70" s="3"/>
    </row>
    <row r="71" spans="7:7" ht="14.4" customHeight="1">
      <c r="G71" s="3"/>
    </row>
    <row r="72" spans="7:7" ht="14.4" customHeight="1">
      <c r="G72" s="3"/>
    </row>
    <row r="73" spans="7:7" ht="14.4" customHeight="1">
      <c r="G73" s="3"/>
    </row>
    <row r="74" spans="7:7" ht="14.4" customHeight="1">
      <c r="G74" s="3"/>
    </row>
    <row r="75" spans="7:7" ht="14.4" customHeight="1">
      <c r="G75" s="3"/>
    </row>
    <row r="76" spans="7:7" ht="14.4" customHeight="1">
      <c r="G76" s="3"/>
    </row>
    <row r="77" spans="7:7" ht="14.4" customHeight="1">
      <c r="G77" s="3"/>
    </row>
    <row r="78" spans="7:7" ht="14.4" customHeight="1">
      <c r="G78" s="3"/>
    </row>
    <row r="79" spans="7:7" ht="14.4" customHeight="1">
      <c r="G79" s="3"/>
    </row>
    <row r="80" spans="7:7" ht="14.4" customHeight="1">
      <c r="G80" s="3"/>
    </row>
    <row r="81" spans="7:7" ht="14.4" customHeight="1">
      <c r="G81" s="3"/>
    </row>
    <row r="82" spans="7:7" ht="14.4" customHeight="1">
      <c r="G82" s="3"/>
    </row>
    <row r="83" spans="7:7" ht="14.4" customHeight="1">
      <c r="G83" s="3"/>
    </row>
    <row r="84" spans="7:7" ht="14.4" customHeight="1">
      <c r="G84" s="3"/>
    </row>
    <row r="85" spans="7:7" ht="14.4" customHeight="1">
      <c r="G85" s="3"/>
    </row>
    <row r="86" spans="7:7" ht="14.4" customHeight="1">
      <c r="G86" s="3"/>
    </row>
    <row r="87" spans="7:7" ht="14.4" customHeight="1">
      <c r="G87" s="3"/>
    </row>
    <row r="88" spans="7:7" ht="14.4" customHeight="1">
      <c r="G88" s="3"/>
    </row>
    <row r="89" spans="7:7" ht="14.4" customHeight="1">
      <c r="G89" s="3"/>
    </row>
    <row r="90" spans="7:7" ht="14.4" customHeight="1">
      <c r="G90" s="3"/>
    </row>
    <row r="91" spans="7:7" ht="14.4" customHeight="1">
      <c r="G91" s="3"/>
    </row>
    <row r="92" spans="7:7" ht="14.4" customHeight="1">
      <c r="G92" s="3"/>
    </row>
    <row r="93" spans="7:7" ht="14.4" customHeight="1">
      <c r="G93" s="3"/>
    </row>
    <row r="94" spans="7:7" ht="14.4" customHeight="1">
      <c r="G94" s="3"/>
    </row>
    <row r="95" spans="7:7" ht="14.4" customHeight="1">
      <c r="G95" s="3"/>
    </row>
    <row r="96" spans="7:7" ht="14.4" customHeight="1">
      <c r="G96" s="3"/>
    </row>
    <row r="97" spans="7:7" ht="14.4" customHeight="1">
      <c r="G97" s="3"/>
    </row>
    <row r="98" spans="7:7" ht="14.4" customHeight="1">
      <c r="G98" s="3"/>
    </row>
    <row r="99" spans="7:7" ht="14.4" customHeight="1">
      <c r="G99" s="3"/>
    </row>
    <row r="100" spans="7:7" ht="14.4" customHeight="1">
      <c r="G100" s="3"/>
    </row>
    <row r="101" spans="7:7" ht="14.4" customHeight="1">
      <c r="G101" s="3"/>
    </row>
    <row r="102" spans="7:7" ht="14.4" customHeight="1">
      <c r="G102" s="3"/>
    </row>
    <row r="103" spans="7:7" ht="14.4" customHeight="1">
      <c r="G103" s="3"/>
    </row>
    <row r="104" spans="7:7" ht="14.4" customHeight="1">
      <c r="G104" s="3"/>
    </row>
    <row r="105" spans="7:7" ht="14.4" customHeight="1">
      <c r="G105" s="3"/>
    </row>
    <row r="106" spans="7:7" ht="14.4" customHeight="1">
      <c r="G106" s="3"/>
    </row>
    <row r="107" spans="7:7" ht="14.4" customHeight="1">
      <c r="G107" s="3"/>
    </row>
    <row r="108" spans="7:7" ht="14.4" customHeight="1">
      <c r="G108" s="3"/>
    </row>
    <row r="109" spans="7:7" ht="14.4" customHeight="1">
      <c r="G109" s="3"/>
    </row>
    <row r="110" spans="7:7" ht="14.4" customHeight="1">
      <c r="G110" s="3"/>
    </row>
    <row r="111" spans="7:7" ht="14.4" customHeight="1">
      <c r="G111" s="3"/>
    </row>
    <row r="112" spans="7:7" ht="14.4" customHeight="1">
      <c r="G112" s="3"/>
    </row>
    <row r="113" spans="7:7" ht="14.4" customHeight="1">
      <c r="G113" s="3"/>
    </row>
    <row r="114" spans="7:7" ht="14.4" customHeight="1">
      <c r="G114" s="3"/>
    </row>
    <row r="115" spans="7:7" ht="14.4" customHeight="1">
      <c r="G115" s="3"/>
    </row>
    <row r="116" spans="7:7" ht="14.4" customHeight="1">
      <c r="G116" s="3"/>
    </row>
    <row r="117" spans="7:7" ht="14.4" customHeight="1">
      <c r="G117" s="3"/>
    </row>
    <row r="118" spans="7:7" ht="14.4" customHeight="1">
      <c r="G118" s="3"/>
    </row>
    <row r="119" spans="7:7" ht="14.4" customHeight="1">
      <c r="G119" s="3"/>
    </row>
    <row r="120" spans="7:7" ht="14.4" customHeight="1">
      <c r="G120" s="3"/>
    </row>
    <row r="121" spans="7:7" ht="14.4" customHeight="1">
      <c r="G121" s="3"/>
    </row>
    <row r="122" spans="7:7" ht="14.4" customHeight="1">
      <c r="G122" s="3"/>
    </row>
    <row r="123" spans="7:7" ht="14.4" customHeight="1">
      <c r="G123" s="3"/>
    </row>
    <row r="124" spans="7:7" ht="14.4" customHeight="1">
      <c r="G124" s="3"/>
    </row>
    <row r="125" spans="7:7" ht="14.4" customHeight="1">
      <c r="G125" s="3"/>
    </row>
    <row r="126" spans="7:7" ht="14.4" customHeight="1">
      <c r="G126" s="3"/>
    </row>
    <row r="127" spans="7:7" ht="14.4" customHeight="1">
      <c r="G127" s="3"/>
    </row>
    <row r="128" spans="7:7" ht="14.4" customHeight="1">
      <c r="G128" s="3"/>
    </row>
    <row r="129" spans="7:7" ht="14.4" customHeight="1">
      <c r="G129" s="3"/>
    </row>
    <row r="130" spans="7:7" ht="14.4" customHeight="1">
      <c r="G130" s="3"/>
    </row>
    <row r="131" spans="7:7" ht="14.4" customHeight="1">
      <c r="G131" s="3"/>
    </row>
    <row r="132" spans="7:7" ht="14.4" customHeight="1">
      <c r="G132" s="3"/>
    </row>
    <row r="133" spans="7:7" ht="14.4" customHeight="1">
      <c r="G133" s="3"/>
    </row>
    <row r="134" spans="7:7" ht="14.4" customHeight="1">
      <c r="G134" s="3"/>
    </row>
    <row r="135" spans="7:7" ht="14.4" customHeight="1">
      <c r="G135" s="3"/>
    </row>
    <row r="136" spans="7:7" ht="14.4" customHeight="1">
      <c r="G136" s="3"/>
    </row>
    <row r="137" spans="7:7" ht="14.4" customHeight="1">
      <c r="G137" s="3"/>
    </row>
    <row r="138" spans="7:7" ht="14.4" customHeight="1">
      <c r="G138" s="3"/>
    </row>
    <row r="139" spans="7:7" ht="14.4" customHeight="1">
      <c r="G139" s="3"/>
    </row>
    <row r="140" spans="7:7" ht="14.4" customHeight="1">
      <c r="G140" s="3"/>
    </row>
    <row r="141" spans="7:7" ht="14.4" customHeight="1">
      <c r="G141" s="3"/>
    </row>
    <row r="142" spans="7:7" ht="14.4" customHeight="1">
      <c r="G142" s="3"/>
    </row>
    <row r="143" spans="7:7" ht="14.4" customHeight="1">
      <c r="G143" s="3"/>
    </row>
    <row r="144" spans="7:7" ht="14.4" customHeight="1">
      <c r="G144" s="3"/>
    </row>
    <row r="145" spans="7:7" ht="14.4" customHeight="1">
      <c r="G145" s="3"/>
    </row>
    <row r="146" spans="7:7" ht="14.4" customHeight="1">
      <c r="G146" s="3"/>
    </row>
    <row r="147" spans="7:7" ht="14.4" customHeight="1">
      <c r="G147" s="3"/>
    </row>
    <row r="148" spans="7:7" ht="14.4" customHeight="1">
      <c r="G148" s="3"/>
    </row>
    <row r="149" spans="7:7" ht="14.4" customHeight="1">
      <c r="G149" s="3"/>
    </row>
    <row r="150" spans="7:7" ht="14.4" customHeight="1">
      <c r="G150" s="3"/>
    </row>
    <row r="151" spans="7:7" ht="14.4" customHeight="1">
      <c r="G151" s="3"/>
    </row>
    <row r="152" spans="7:7" ht="14.4" customHeight="1">
      <c r="G152" s="3"/>
    </row>
    <row r="153" spans="7:7" ht="14.4" customHeight="1">
      <c r="G153" s="3"/>
    </row>
    <row r="154" spans="7:7" ht="14.4" customHeight="1">
      <c r="G154" s="3"/>
    </row>
    <row r="155" spans="7:7" ht="14.4" customHeight="1">
      <c r="G155" s="3"/>
    </row>
    <row r="156" spans="7:7" ht="14.4" customHeight="1">
      <c r="G156" s="3"/>
    </row>
    <row r="157" spans="7:7" ht="14.4" customHeight="1">
      <c r="G157" s="3"/>
    </row>
    <row r="158" spans="7:7" ht="14.4" customHeight="1">
      <c r="G158" s="3"/>
    </row>
    <row r="159" spans="7:7" ht="14.4" customHeight="1">
      <c r="G159" s="3"/>
    </row>
    <row r="160" spans="7:7" ht="14.4" customHeight="1">
      <c r="G160" s="3"/>
    </row>
    <row r="161" spans="7:7" ht="14.4" customHeight="1">
      <c r="G161" s="3"/>
    </row>
    <row r="162" spans="7:7" ht="14.4" customHeight="1">
      <c r="G162" s="3"/>
    </row>
    <row r="163" spans="7:7" ht="14.4" customHeight="1">
      <c r="G163" s="3"/>
    </row>
    <row r="164" spans="7:7" ht="14.4" customHeight="1">
      <c r="G164" s="3"/>
    </row>
    <row r="165" spans="7:7" ht="14.4" customHeight="1">
      <c r="G165" s="3"/>
    </row>
    <row r="166" spans="7:7" ht="14.4" customHeight="1">
      <c r="G166" s="3"/>
    </row>
    <row r="167" spans="7:7" ht="14.4" customHeight="1">
      <c r="G167" s="3"/>
    </row>
    <row r="168" spans="7:7" ht="14.4" customHeight="1">
      <c r="G168" s="3"/>
    </row>
    <row r="169" spans="7:7" ht="14.4" customHeight="1">
      <c r="G169" s="3"/>
    </row>
    <row r="170" spans="7:7" ht="14.4" customHeight="1">
      <c r="G170" s="3"/>
    </row>
    <row r="171" spans="7:7" ht="14.4" customHeight="1">
      <c r="G171" s="3"/>
    </row>
    <row r="172" spans="7:7" ht="14.4" customHeight="1">
      <c r="G172" s="3"/>
    </row>
    <row r="173" spans="7:7" ht="14.4" customHeight="1">
      <c r="G173" s="3"/>
    </row>
    <row r="174" spans="7:7" ht="14.4" customHeight="1">
      <c r="G174" s="3"/>
    </row>
    <row r="175" spans="7:7" ht="14.4" customHeight="1">
      <c r="G175" s="3"/>
    </row>
    <row r="176" spans="7:7" ht="14.4" customHeight="1">
      <c r="G176" s="3"/>
    </row>
    <row r="177" spans="7:7" ht="14.4" customHeight="1">
      <c r="G177" s="3"/>
    </row>
    <row r="178" spans="7:7" ht="14.4" customHeight="1">
      <c r="G178" s="3"/>
    </row>
    <row r="179" spans="7:7" ht="14.4" customHeight="1">
      <c r="G179" s="3"/>
    </row>
    <row r="180" spans="7:7" ht="14.4" customHeight="1">
      <c r="G180" s="3"/>
    </row>
    <row r="181" spans="7:7" ht="14.4" customHeight="1">
      <c r="G181" s="3"/>
    </row>
    <row r="182" spans="7:7" ht="14.4" customHeight="1">
      <c r="G182" s="3"/>
    </row>
    <row r="183" spans="7:7" ht="14.4" customHeight="1">
      <c r="G183" s="3"/>
    </row>
    <row r="184" spans="7:7" ht="14.4" customHeight="1">
      <c r="G184" s="3"/>
    </row>
    <row r="185" spans="7:7" ht="14.4" customHeight="1">
      <c r="G185" s="3"/>
    </row>
    <row r="186" spans="7:7" ht="14.4" customHeight="1">
      <c r="G186" s="3"/>
    </row>
    <row r="187" spans="7:7" ht="14.4" customHeight="1">
      <c r="G187" s="3"/>
    </row>
    <row r="188" spans="7:7" ht="14.4" customHeight="1">
      <c r="G188" s="3"/>
    </row>
    <row r="189" spans="7:7" ht="14.4" customHeight="1">
      <c r="G189" s="3"/>
    </row>
    <row r="190" spans="7:7" ht="14.4" customHeight="1">
      <c r="G190" s="3"/>
    </row>
    <row r="191" spans="7:7" ht="14.4" customHeight="1">
      <c r="G191" s="3"/>
    </row>
    <row r="192" spans="7:7" ht="14.4" customHeight="1">
      <c r="G192" s="3"/>
    </row>
    <row r="193" spans="7:7" ht="14.4" customHeight="1">
      <c r="G193" s="3"/>
    </row>
    <row r="194" spans="7:7" ht="14.4" customHeight="1">
      <c r="G194" s="3"/>
    </row>
    <row r="195" spans="7:7" ht="14.4" customHeight="1">
      <c r="G195" s="3"/>
    </row>
    <row r="196" spans="7:7" ht="14.4" customHeight="1">
      <c r="G196" s="3"/>
    </row>
    <row r="197" spans="7:7" ht="14.4" customHeight="1">
      <c r="G197" s="3"/>
    </row>
    <row r="198" spans="7:7" ht="14.4" customHeight="1">
      <c r="G198" s="3"/>
    </row>
    <row r="199" spans="7:7" ht="14.4" customHeight="1">
      <c r="G199" s="3"/>
    </row>
    <row r="200" spans="7:7" ht="14.4" customHeight="1">
      <c r="G200" s="3"/>
    </row>
    <row r="201" spans="7:7" ht="14.4" customHeight="1">
      <c r="G201" s="3"/>
    </row>
    <row r="202" spans="7:7" ht="14.4" customHeight="1">
      <c r="G202" s="3"/>
    </row>
    <row r="203" spans="7:7" ht="14.4" customHeight="1">
      <c r="G203" s="3"/>
    </row>
    <row r="204" spans="7:7" ht="14.4" customHeight="1">
      <c r="G204" s="3"/>
    </row>
    <row r="205" spans="7:7" ht="14.4" customHeight="1">
      <c r="G205" s="3"/>
    </row>
    <row r="206" spans="7:7" ht="14.4" customHeight="1">
      <c r="G206" s="3"/>
    </row>
    <row r="207" spans="7:7" ht="14.4" customHeight="1">
      <c r="G207" s="3"/>
    </row>
    <row r="208" spans="7:7" ht="14.4" customHeight="1">
      <c r="G208" s="3"/>
    </row>
    <row r="209" spans="7:7" ht="14.4" customHeight="1">
      <c r="G209" s="3"/>
    </row>
    <row r="210" spans="7:7" ht="14.4" customHeight="1">
      <c r="G210" s="3"/>
    </row>
    <row r="211" spans="7:7" ht="14.4" customHeight="1">
      <c r="G211" s="3"/>
    </row>
    <row r="212" spans="7:7" ht="14.4" customHeight="1">
      <c r="G212" s="3"/>
    </row>
    <row r="213" spans="7:7" ht="14.4" customHeight="1">
      <c r="G213" s="3"/>
    </row>
    <row r="214" spans="7:7" ht="14.4" customHeight="1">
      <c r="G214" s="3"/>
    </row>
    <row r="215" spans="7:7" ht="14.4" customHeight="1">
      <c r="G215" s="3"/>
    </row>
    <row r="216" spans="7:7" ht="14.4" customHeight="1">
      <c r="G216" s="3"/>
    </row>
    <row r="217" spans="7:7" ht="14.4" customHeight="1">
      <c r="G217" s="3"/>
    </row>
    <row r="218" spans="7:7" ht="14.4" customHeight="1">
      <c r="G218" s="3"/>
    </row>
    <row r="219" spans="7:7" ht="14.4" customHeight="1">
      <c r="G219" s="3"/>
    </row>
    <row r="220" spans="7:7" ht="14.4" customHeight="1">
      <c r="G220" s="3"/>
    </row>
    <row r="221" spans="7:7" ht="14.4" customHeight="1">
      <c r="G221" s="3"/>
    </row>
    <row r="222" spans="7:7" ht="14.4" customHeight="1">
      <c r="G222" s="3"/>
    </row>
    <row r="223" spans="7:7" ht="14.4" customHeight="1">
      <c r="G223" s="3"/>
    </row>
    <row r="224" spans="7:7" ht="14.4" customHeight="1">
      <c r="G224" s="3"/>
    </row>
    <row r="225" spans="7:7" ht="14.4" customHeight="1">
      <c r="G225" s="3"/>
    </row>
    <row r="226" spans="7:7" ht="14.4" customHeight="1">
      <c r="G226" s="3"/>
    </row>
    <row r="227" spans="7:7" ht="14.4" customHeight="1">
      <c r="G227" s="3"/>
    </row>
    <row r="228" spans="7:7" ht="14.4" customHeight="1">
      <c r="G228" s="3"/>
    </row>
    <row r="229" spans="7:7" ht="14.4" customHeight="1">
      <c r="G229" s="3"/>
    </row>
    <row r="230" spans="7:7" ht="14.4" customHeight="1">
      <c r="G230" s="3"/>
    </row>
    <row r="231" spans="7:7" ht="14.4" customHeight="1">
      <c r="G231" s="3"/>
    </row>
    <row r="232" spans="7:7" ht="14.4" customHeight="1">
      <c r="G232" s="3"/>
    </row>
    <row r="233" spans="7:7" ht="14.4" customHeight="1">
      <c r="G233" s="3"/>
    </row>
    <row r="234" spans="7:7" ht="14.4" customHeight="1">
      <c r="G234" s="3"/>
    </row>
    <row r="235" spans="7:7" ht="14.4" customHeight="1">
      <c r="G235" s="3"/>
    </row>
    <row r="236" spans="7:7" ht="14.4" customHeight="1">
      <c r="G236" s="3"/>
    </row>
    <row r="237" spans="7:7" ht="14.4" customHeight="1">
      <c r="G237" s="3"/>
    </row>
    <row r="238" spans="7:7" ht="14.4" customHeight="1">
      <c r="G238" s="3"/>
    </row>
    <row r="239" spans="7:7" ht="14.4" customHeight="1">
      <c r="G239" s="3"/>
    </row>
    <row r="240" spans="7:7" ht="14.4" customHeight="1">
      <c r="G240" s="3"/>
    </row>
    <row r="241" spans="7:7" ht="14.4" customHeight="1">
      <c r="G241" s="3"/>
    </row>
    <row r="242" spans="7:7" ht="14.4" customHeight="1">
      <c r="G242" s="3"/>
    </row>
    <row r="243" spans="7:7" ht="14.4" customHeight="1">
      <c r="G243" s="3"/>
    </row>
    <row r="244" spans="7:7" ht="14.4" customHeight="1">
      <c r="G244" s="3"/>
    </row>
    <row r="245" spans="7:7" ht="14.4" customHeight="1">
      <c r="G245" s="3"/>
    </row>
    <row r="246" spans="7:7" ht="14.4" customHeight="1">
      <c r="G246" s="3"/>
    </row>
    <row r="247" spans="7:7" ht="14.4" customHeight="1">
      <c r="G247" s="3"/>
    </row>
    <row r="248" spans="7:7" ht="14.4" customHeight="1">
      <c r="G248" s="3"/>
    </row>
    <row r="249" spans="7:7" ht="14.4" customHeight="1">
      <c r="G249" s="3"/>
    </row>
    <row r="250" spans="7:7" ht="14.4" customHeight="1">
      <c r="G250" s="3"/>
    </row>
    <row r="251" spans="7:7" ht="14.4" customHeight="1">
      <c r="G251" s="3"/>
    </row>
    <row r="252" spans="7:7" ht="14.4" customHeight="1">
      <c r="G252" s="3"/>
    </row>
    <row r="253" spans="7:7" ht="14.4" customHeight="1">
      <c r="G253" s="3"/>
    </row>
    <row r="254" spans="7:7" ht="14.4" customHeight="1">
      <c r="G254" s="3"/>
    </row>
    <row r="255" spans="7:7" ht="14.4" customHeight="1">
      <c r="G255" s="3"/>
    </row>
    <row r="256" spans="7:7" ht="14.4" customHeight="1">
      <c r="G256" s="3"/>
    </row>
    <row r="257" spans="7:7" ht="14.4" customHeight="1">
      <c r="G257" s="3"/>
    </row>
    <row r="258" spans="7:7" ht="14.4" customHeight="1">
      <c r="G258" s="3"/>
    </row>
    <row r="259" spans="7:7" ht="14.4" customHeight="1">
      <c r="G259" s="3"/>
    </row>
    <row r="260" spans="7:7" ht="14.4" customHeight="1">
      <c r="G260" s="3"/>
    </row>
    <row r="261" spans="7:7" ht="14.4" customHeight="1">
      <c r="G261" s="3"/>
    </row>
    <row r="262" spans="7:7" ht="14.4" customHeight="1">
      <c r="G262" s="3"/>
    </row>
    <row r="263" spans="7:7" ht="14.4" customHeight="1">
      <c r="G263" s="3"/>
    </row>
    <row r="264" spans="7:7" ht="14.4" customHeight="1">
      <c r="G264" s="3"/>
    </row>
    <row r="265" spans="7:7" ht="14.4" customHeight="1">
      <c r="G265" s="3"/>
    </row>
    <row r="266" spans="7:7" ht="14.4" customHeight="1">
      <c r="G266" s="3"/>
    </row>
    <row r="267" spans="7:7" ht="14.4" customHeight="1">
      <c r="G267" s="3"/>
    </row>
    <row r="268" spans="7:7" ht="14.4" customHeight="1">
      <c r="G268" s="3"/>
    </row>
    <row r="269" spans="7:7" ht="14.4" customHeight="1">
      <c r="G269" s="3"/>
    </row>
    <row r="270" spans="7:7" ht="14.4" customHeight="1">
      <c r="G270" s="3"/>
    </row>
    <row r="271" spans="7:7" ht="14.4" customHeight="1">
      <c r="G271" s="3"/>
    </row>
    <row r="272" spans="7:7" ht="14.4" customHeight="1">
      <c r="G272" s="3"/>
    </row>
    <row r="273" spans="7:7" ht="14.4" customHeight="1">
      <c r="G273" s="3"/>
    </row>
    <row r="274" spans="7:7" ht="14.4" customHeight="1">
      <c r="G274" s="3"/>
    </row>
    <row r="275" spans="7:7" ht="14.4" customHeight="1">
      <c r="G275" s="3"/>
    </row>
    <row r="276" spans="7:7" ht="14.4" customHeight="1">
      <c r="G276" s="3"/>
    </row>
    <row r="277" spans="7:7" ht="14.4" customHeight="1">
      <c r="G277" s="3"/>
    </row>
    <row r="278" spans="7:7" ht="14.4" customHeight="1">
      <c r="G278" s="3"/>
    </row>
    <row r="279" spans="7:7" ht="14.4" customHeight="1">
      <c r="G279" s="3"/>
    </row>
    <row r="280" spans="7:7" ht="14.4" customHeight="1">
      <c r="G280" s="3"/>
    </row>
    <row r="281" spans="7:7" ht="14.4" customHeight="1">
      <c r="G281" s="3"/>
    </row>
    <row r="282" spans="7:7" ht="14.4" customHeight="1">
      <c r="G282" s="3"/>
    </row>
    <row r="283" spans="7:7" ht="14.4" customHeight="1">
      <c r="G283" s="3"/>
    </row>
    <row r="284" spans="7:7" ht="14.4" customHeight="1">
      <c r="G284" s="3"/>
    </row>
    <row r="285" spans="7:7" ht="14.4" customHeight="1">
      <c r="G285" s="3"/>
    </row>
    <row r="286" spans="7:7" ht="14.4" customHeight="1">
      <c r="G286" s="3"/>
    </row>
    <row r="287" spans="7:7" ht="14.4" customHeight="1">
      <c r="G287" s="3"/>
    </row>
    <row r="288" spans="7:7" ht="14.4" customHeight="1">
      <c r="G288" s="3"/>
    </row>
    <row r="289" spans="7:7" ht="14.4" customHeight="1">
      <c r="G289" s="3"/>
    </row>
    <row r="290" spans="7:7" ht="14.4" customHeight="1">
      <c r="G290" s="3"/>
    </row>
    <row r="291" spans="7:7" ht="14.4" customHeight="1">
      <c r="G291" s="3"/>
    </row>
    <row r="292" spans="7:7" ht="14.4" customHeight="1">
      <c r="G292" s="3"/>
    </row>
    <row r="293" spans="7:7" ht="14.4" customHeight="1">
      <c r="G293" s="3"/>
    </row>
    <row r="294" spans="7:7" ht="14.4" customHeight="1">
      <c r="G294" s="3"/>
    </row>
    <row r="295" spans="7:7" ht="14.4" customHeight="1">
      <c r="G295" s="3"/>
    </row>
    <row r="296" spans="7:7" ht="14.4" customHeight="1">
      <c r="G296" s="3"/>
    </row>
    <row r="297" spans="7:7" ht="14.4" customHeight="1">
      <c r="G297" s="3"/>
    </row>
    <row r="298" spans="7:7" ht="14.4" customHeight="1">
      <c r="G298" s="3"/>
    </row>
    <row r="299" spans="7:7" ht="14.4" customHeight="1">
      <c r="G299" s="3"/>
    </row>
    <row r="300" spans="7:7" ht="14.4" customHeight="1">
      <c r="G300" s="3"/>
    </row>
    <row r="301" spans="7:7" ht="14.4" customHeight="1">
      <c r="G301" s="3"/>
    </row>
    <row r="302" spans="7:7" ht="14.4" customHeight="1">
      <c r="G302" s="3"/>
    </row>
    <row r="303" spans="7:7" ht="14.4" customHeight="1">
      <c r="G303" s="3"/>
    </row>
    <row r="304" spans="7:7" ht="14.4" customHeight="1">
      <c r="G304" s="3"/>
    </row>
    <row r="305" spans="7:7" ht="14.4" customHeight="1">
      <c r="G305" s="3"/>
    </row>
    <row r="306" spans="7:7" ht="14.4" customHeight="1">
      <c r="G306" s="3"/>
    </row>
    <row r="307" spans="7:7" ht="14.4" customHeight="1">
      <c r="G307" s="3"/>
    </row>
    <row r="308" spans="7:7" ht="14.4" customHeight="1">
      <c r="G308" s="3"/>
    </row>
    <row r="309" spans="7:7" ht="14.4" customHeight="1">
      <c r="G309" s="3"/>
    </row>
    <row r="310" spans="7:7" ht="14.4" customHeight="1">
      <c r="G310" s="3"/>
    </row>
    <row r="311" spans="7:7" ht="14.4" customHeight="1">
      <c r="G311" s="3"/>
    </row>
    <row r="312" spans="7:7" ht="14.4" customHeight="1">
      <c r="G312" s="3"/>
    </row>
    <row r="313" spans="7:7" ht="14.4" customHeight="1">
      <c r="G313" s="3"/>
    </row>
    <row r="314" spans="7:7" ht="14.4" customHeight="1">
      <c r="G314" s="3"/>
    </row>
    <row r="315" spans="7:7" ht="14.4" customHeight="1">
      <c r="G315" s="3"/>
    </row>
    <row r="316" spans="7:7" ht="14.4" customHeight="1">
      <c r="G316" s="3"/>
    </row>
    <row r="317" spans="7:7" ht="14.4" customHeight="1">
      <c r="G317" s="3"/>
    </row>
    <row r="318" spans="7:7" ht="14.4" customHeight="1">
      <c r="G318" s="3"/>
    </row>
    <row r="319" spans="7:7" ht="14.4" customHeight="1">
      <c r="G319" s="3"/>
    </row>
    <row r="320" spans="7:7" ht="14.4" customHeight="1">
      <c r="G320" s="3"/>
    </row>
    <row r="321" spans="7:7" ht="14.4" customHeight="1">
      <c r="G321" s="3"/>
    </row>
    <row r="322" spans="7:7" ht="14.4" customHeight="1">
      <c r="G322" s="3"/>
    </row>
    <row r="323" spans="7:7" ht="14.4" customHeight="1">
      <c r="G323" s="3"/>
    </row>
    <row r="324" spans="7:7" ht="14.4" customHeight="1">
      <c r="G324" s="3"/>
    </row>
    <row r="325" spans="7:7" ht="14.4" customHeight="1">
      <c r="G325" s="3"/>
    </row>
    <row r="326" spans="7:7" ht="14.4" customHeight="1">
      <c r="G326" s="3"/>
    </row>
    <row r="327" spans="7:7" ht="14.4" customHeight="1">
      <c r="G327" s="3"/>
    </row>
    <row r="328" spans="7:7" ht="14.4" customHeight="1">
      <c r="G328" s="3"/>
    </row>
    <row r="329" spans="7:7" ht="14.4" customHeight="1">
      <c r="G329" s="3"/>
    </row>
    <row r="330" spans="7:7" ht="14.4" customHeight="1">
      <c r="G330" s="3"/>
    </row>
    <row r="331" spans="7:7" ht="14.4" customHeight="1">
      <c r="G331" s="3"/>
    </row>
    <row r="332" spans="7:7" ht="14.4" customHeight="1">
      <c r="G332" s="3"/>
    </row>
    <row r="333" spans="7:7" ht="14.4" customHeight="1">
      <c r="G333" s="3"/>
    </row>
    <row r="334" spans="7:7" ht="14.4" customHeight="1">
      <c r="G334" s="3"/>
    </row>
    <row r="335" spans="7:7" ht="14.4" customHeight="1">
      <c r="G335" s="3"/>
    </row>
    <row r="336" spans="7:7" ht="14.4" customHeight="1">
      <c r="G336" s="3"/>
    </row>
    <row r="337" spans="7:7" ht="14.4" customHeight="1">
      <c r="G337" s="3"/>
    </row>
    <row r="338" spans="7:7" ht="14.4" customHeight="1">
      <c r="G338" s="3"/>
    </row>
    <row r="339" spans="7:7" ht="14.4" customHeight="1">
      <c r="G339" s="3"/>
    </row>
    <row r="340" spans="7:7" ht="14.4" customHeight="1">
      <c r="G340" s="3"/>
    </row>
    <row r="341" spans="7:7" ht="14.4" customHeight="1">
      <c r="G341" s="3"/>
    </row>
    <row r="342" spans="7:7" ht="14.4" customHeight="1">
      <c r="G342" s="3"/>
    </row>
    <row r="343" spans="7:7" ht="14.4" customHeight="1">
      <c r="G343" s="3"/>
    </row>
    <row r="344" spans="7:7" ht="14.4" customHeight="1">
      <c r="G344" s="3"/>
    </row>
    <row r="345" spans="7:7" ht="14.4" customHeight="1">
      <c r="G345" s="3"/>
    </row>
    <row r="346" spans="7:7" ht="14.4" customHeight="1">
      <c r="G346" s="3"/>
    </row>
    <row r="347" spans="7:7" ht="14.4" customHeight="1">
      <c r="G347" s="3"/>
    </row>
    <row r="348" spans="7:7" ht="14.4" customHeight="1">
      <c r="G348" s="3"/>
    </row>
    <row r="349" spans="7:7" ht="14.4" customHeight="1">
      <c r="G349" s="3"/>
    </row>
    <row r="350" spans="7:7" ht="14.4" customHeight="1">
      <c r="G350" s="3"/>
    </row>
    <row r="351" spans="7:7" ht="14.4" customHeight="1">
      <c r="G351" s="3"/>
    </row>
    <row r="352" spans="7:7" ht="14.4" customHeight="1">
      <c r="G352" s="3"/>
    </row>
    <row r="353" spans="7:7" ht="14.4" customHeight="1">
      <c r="G353" s="3"/>
    </row>
    <row r="354" spans="7:7" ht="14.4" customHeight="1">
      <c r="G354" s="3"/>
    </row>
    <row r="355" spans="7:7" ht="14.4" customHeight="1">
      <c r="G355" s="3"/>
    </row>
    <row r="356" spans="7:7" ht="14.4" customHeight="1">
      <c r="G356" s="3"/>
    </row>
    <row r="357" spans="7:7" ht="14.4" customHeight="1">
      <c r="G357" s="3"/>
    </row>
    <row r="358" spans="7:7" ht="14.4" customHeight="1">
      <c r="G358" s="3"/>
    </row>
    <row r="359" spans="7:7" ht="14.4" customHeight="1">
      <c r="G359" s="3"/>
    </row>
    <row r="360" spans="7:7" ht="14.4" customHeight="1">
      <c r="G360" s="3"/>
    </row>
    <row r="361" spans="7:7" ht="14.4" customHeight="1">
      <c r="G361" s="3"/>
    </row>
    <row r="362" spans="7:7" ht="14.4" customHeight="1">
      <c r="G362" s="3"/>
    </row>
    <row r="363" spans="7:7" ht="14.4" customHeight="1">
      <c r="G363" s="3"/>
    </row>
    <row r="364" spans="7:7" ht="14.4" customHeight="1">
      <c r="G364" s="3"/>
    </row>
    <row r="365" spans="7:7" ht="14.4" customHeight="1">
      <c r="G365" s="3"/>
    </row>
    <row r="366" spans="7:7" ht="14.4" customHeight="1">
      <c r="G366" s="3"/>
    </row>
    <row r="367" spans="7:7" ht="14.4" customHeight="1">
      <c r="G367" s="3"/>
    </row>
    <row r="368" spans="7:7" ht="14.4" customHeight="1">
      <c r="G368" s="3"/>
    </row>
    <row r="369" spans="7:7" ht="14.4" customHeight="1">
      <c r="G369" s="3"/>
    </row>
    <row r="370" spans="7:7" ht="14.4" customHeight="1">
      <c r="G370" s="3"/>
    </row>
    <row r="371" spans="7:7" ht="14.4" customHeight="1">
      <c r="G371" s="3"/>
    </row>
    <row r="372" spans="7:7" ht="14.4" customHeight="1">
      <c r="G372" s="3"/>
    </row>
    <row r="373" spans="7:7" ht="14.4" customHeight="1">
      <c r="G373" s="3"/>
    </row>
    <row r="374" spans="7:7" ht="14.4" customHeight="1">
      <c r="G374" s="3"/>
    </row>
    <row r="375" spans="7:7" ht="14.4" customHeight="1">
      <c r="G375" s="3"/>
    </row>
    <row r="376" spans="7:7" ht="14.4" customHeight="1">
      <c r="G376" s="3"/>
    </row>
    <row r="377" spans="7:7" ht="14.4" customHeight="1">
      <c r="G377" s="3"/>
    </row>
    <row r="378" spans="7:7" ht="14.4" customHeight="1">
      <c r="G378" s="3"/>
    </row>
    <row r="379" spans="7:7" ht="14.4" customHeight="1">
      <c r="G379" s="3"/>
    </row>
    <row r="380" spans="7:7" ht="14.4" customHeight="1">
      <c r="G380" s="3"/>
    </row>
    <row r="381" spans="7:7" ht="14.4" customHeight="1">
      <c r="G381" s="3"/>
    </row>
    <row r="382" spans="7:7" ht="14.4" customHeight="1">
      <c r="G382" s="3"/>
    </row>
    <row r="383" spans="7:7" ht="14.4" customHeight="1">
      <c r="G383" s="3"/>
    </row>
    <row r="384" spans="7:7" ht="14.4" customHeight="1">
      <c r="G384" s="3"/>
    </row>
    <row r="385" spans="7:7" ht="14.4" customHeight="1">
      <c r="G385" s="3"/>
    </row>
    <row r="386" spans="7:7" ht="14.4" customHeight="1">
      <c r="G386" s="3"/>
    </row>
    <row r="387" spans="7:7" ht="14.4" customHeight="1">
      <c r="G387" s="3"/>
    </row>
    <row r="388" spans="7:7" ht="14.4" customHeight="1">
      <c r="G388" s="3"/>
    </row>
    <row r="389" spans="7:7" ht="14.4" customHeight="1">
      <c r="G389" s="3"/>
    </row>
    <row r="390" spans="7:7" ht="14.4" customHeight="1">
      <c r="G390" s="3"/>
    </row>
    <row r="391" spans="7:7" ht="14.4" customHeight="1">
      <c r="G391" s="3"/>
    </row>
    <row r="392" spans="7:7" ht="14.4" customHeight="1">
      <c r="G392" s="3"/>
    </row>
    <row r="393" spans="7:7" ht="14.4" customHeight="1">
      <c r="G393" s="3"/>
    </row>
    <row r="394" spans="7:7" ht="14.4" customHeight="1">
      <c r="G394" s="3"/>
    </row>
    <row r="395" spans="7:7" ht="14.4" customHeight="1">
      <c r="G395" s="3"/>
    </row>
    <row r="396" spans="7:7" ht="14.4" customHeight="1">
      <c r="G396" s="3"/>
    </row>
    <row r="397" spans="7:7" ht="14.4" customHeight="1">
      <c r="G397" s="3"/>
    </row>
    <row r="398" spans="7:7" ht="14.4" customHeight="1">
      <c r="G398" s="3"/>
    </row>
    <row r="399" spans="7:7" ht="14.4" customHeight="1">
      <c r="G399" s="3"/>
    </row>
    <row r="400" spans="7:7" ht="14.4" customHeight="1">
      <c r="G400" s="3"/>
    </row>
    <row r="401" spans="7:7" ht="14.4" customHeight="1">
      <c r="G401" s="3"/>
    </row>
    <row r="402" spans="7:7" ht="14.4" customHeight="1">
      <c r="G402" s="3"/>
    </row>
    <row r="403" spans="7:7" ht="14.4" customHeight="1">
      <c r="G403" s="3"/>
    </row>
    <row r="404" spans="7:7" ht="14.4" customHeight="1">
      <c r="G404" s="3"/>
    </row>
    <row r="405" spans="7:7" ht="14.4" customHeight="1">
      <c r="G405" s="3"/>
    </row>
    <row r="406" spans="7:7" ht="14.4" customHeight="1">
      <c r="G406" s="3"/>
    </row>
    <row r="407" spans="7:7" ht="14.4" customHeight="1">
      <c r="G407" s="3"/>
    </row>
    <row r="408" spans="7:7" ht="14.4" customHeight="1">
      <c r="G408" s="3"/>
    </row>
    <row r="409" spans="7:7" ht="14.4" customHeight="1">
      <c r="G409" s="3"/>
    </row>
    <row r="410" spans="7:7" ht="14.4" customHeight="1">
      <c r="G410" s="3"/>
    </row>
    <row r="411" spans="7:7" ht="14.4" customHeight="1">
      <c r="G411" s="3"/>
    </row>
    <row r="412" spans="7:7" ht="14.4" customHeight="1">
      <c r="G412" s="3"/>
    </row>
    <row r="413" spans="7:7" ht="14.4" customHeight="1">
      <c r="G413" s="3"/>
    </row>
    <row r="414" spans="7:7" ht="14.4" customHeight="1">
      <c r="G414" s="3"/>
    </row>
    <row r="415" spans="7:7" ht="14.4" customHeight="1">
      <c r="G415" s="3"/>
    </row>
    <row r="416" spans="7:7" ht="14.4" customHeight="1">
      <c r="G416" s="3"/>
    </row>
    <row r="417" spans="7:7" ht="14.4" customHeight="1">
      <c r="G417" s="3"/>
    </row>
    <row r="418" spans="7:7" ht="14.4" customHeight="1">
      <c r="G418" s="3"/>
    </row>
    <row r="419" spans="7:7" ht="14.4" customHeight="1">
      <c r="G419" s="3"/>
    </row>
    <row r="420" spans="7:7" ht="14.4" customHeight="1">
      <c r="G420" s="3"/>
    </row>
    <row r="421" spans="7:7" ht="14.4" customHeight="1">
      <c r="G421" s="3"/>
    </row>
    <row r="422" spans="7:7" ht="14.4" customHeight="1">
      <c r="G422" s="3"/>
    </row>
    <row r="423" spans="7:7" ht="14.4" customHeight="1">
      <c r="G423" s="3"/>
    </row>
    <row r="424" spans="7:7" ht="14.4" customHeight="1">
      <c r="G424" s="3"/>
    </row>
    <row r="425" spans="7:7" ht="14.4" customHeight="1">
      <c r="G425" s="3"/>
    </row>
    <row r="426" spans="7:7" ht="14.4" customHeight="1">
      <c r="G426" s="3"/>
    </row>
    <row r="427" spans="7:7" ht="14.4" customHeight="1">
      <c r="G427" s="3"/>
    </row>
    <row r="428" spans="7:7" ht="14.4" customHeight="1">
      <c r="G428" s="3"/>
    </row>
    <row r="429" spans="7:7" ht="14.4" customHeight="1">
      <c r="G429" s="3"/>
    </row>
    <row r="430" spans="7:7" ht="14.4" customHeight="1">
      <c r="G430" s="3"/>
    </row>
    <row r="431" spans="7:7" ht="14.4" customHeight="1">
      <c r="G431" s="3"/>
    </row>
    <row r="432" spans="7:7" ht="14.4" customHeight="1">
      <c r="G432" s="3"/>
    </row>
    <row r="433" spans="7:7" ht="14.4" customHeight="1">
      <c r="G433" s="3"/>
    </row>
    <row r="434" spans="7:7" ht="14.4" customHeight="1">
      <c r="G434" s="3"/>
    </row>
    <row r="435" spans="7:7" ht="14.4" customHeight="1">
      <c r="G435" s="3"/>
    </row>
    <row r="436" spans="7:7" ht="14.4" customHeight="1">
      <c r="G436" s="3"/>
    </row>
    <row r="437" spans="7:7" ht="14.4" customHeight="1">
      <c r="G437" s="3"/>
    </row>
    <row r="438" spans="7:7" ht="14.4" customHeight="1">
      <c r="G438" s="3"/>
    </row>
    <row r="439" spans="7:7" ht="14.4" customHeight="1">
      <c r="G439" s="3"/>
    </row>
    <row r="440" spans="7:7" ht="14.4" customHeight="1">
      <c r="G440" s="3"/>
    </row>
    <row r="441" spans="7:7" ht="14.4" customHeight="1">
      <c r="G441" s="3"/>
    </row>
    <row r="442" spans="7:7" ht="14.4" customHeight="1">
      <c r="G442" s="3"/>
    </row>
    <row r="443" spans="7:7" ht="14.4" customHeight="1">
      <c r="G443" s="3"/>
    </row>
    <row r="444" spans="7:7" ht="14.4" customHeight="1">
      <c r="G444" s="3"/>
    </row>
    <row r="445" spans="7:7" ht="14.4" customHeight="1">
      <c r="G445" s="3"/>
    </row>
    <row r="446" spans="7:7" ht="14.4" customHeight="1">
      <c r="G446" s="3"/>
    </row>
    <row r="447" spans="7:7" ht="14.4" customHeight="1">
      <c r="G447" s="3"/>
    </row>
    <row r="448" spans="7:7" ht="14.4" customHeight="1">
      <c r="G448" s="3"/>
    </row>
    <row r="449" spans="7:7" ht="14.4" customHeight="1">
      <c r="G449" s="3"/>
    </row>
    <row r="450" spans="7:7" ht="14.4" customHeight="1">
      <c r="G450" s="3"/>
    </row>
    <row r="451" spans="7:7" ht="14.4" customHeight="1">
      <c r="G451" s="3"/>
    </row>
    <row r="452" spans="7:7" ht="14.4" customHeight="1">
      <c r="G452" s="3"/>
    </row>
    <row r="453" spans="7:7" ht="14.4" customHeight="1">
      <c r="G453" s="3"/>
    </row>
    <row r="454" spans="7:7" ht="14.4" customHeight="1">
      <c r="G454" s="3"/>
    </row>
    <row r="455" spans="7:7" ht="14.4" customHeight="1">
      <c r="G455" s="3"/>
    </row>
    <row r="456" spans="7:7" ht="14.4" customHeight="1">
      <c r="G456" s="3"/>
    </row>
    <row r="457" spans="7:7" ht="14.4" customHeight="1">
      <c r="G457" s="3"/>
    </row>
    <row r="458" spans="7:7" ht="14.4" customHeight="1">
      <c r="G458" s="3"/>
    </row>
    <row r="459" spans="7:7" ht="14.4" customHeight="1">
      <c r="G459" s="3"/>
    </row>
    <row r="460" spans="7:7" ht="14.4" customHeight="1">
      <c r="G460" s="3"/>
    </row>
    <row r="461" spans="7:7" ht="14.4" customHeight="1">
      <c r="G461" s="3"/>
    </row>
    <row r="462" spans="7:7" ht="14.4" customHeight="1">
      <c r="G462" s="3"/>
    </row>
    <row r="463" spans="7:7" ht="14.4" customHeight="1">
      <c r="G463" s="3"/>
    </row>
    <row r="464" spans="7:7" ht="14.4" customHeight="1">
      <c r="G464" s="3"/>
    </row>
    <row r="465" spans="7:7" ht="14.4" customHeight="1">
      <c r="G465" s="3"/>
    </row>
    <row r="466" spans="7:7" ht="14.4" customHeight="1">
      <c r="G466" s="3"/>
    </row>
    <row r="467" spans="7:7" ht="14.4" customHeight="1">
      <c r="G467" s="3"/>
    </row>
    <row r="468" spans="7:7" ht="14.4" customHeight="1">
      <c r="G468" s="3"/>
    </row>
    <row r="469" spans="7:7" ht="14.4" customHeight="1">
      <c r="G469" s="3"/>
    </row>
    <row r="470" spans="7:7" ht="14.4" customHeight="1">
      <c r="G470" s="3"/>
    </row>
    <row r="471" spans="7:7" ht="14.4" customHeight="1">
      <c r="G471" s="3"/>
    </row>
    <row r="472" spans="7:7" ht="14.4" customHeight="1">
      <c r="G472" s="3"/>
    </row>
    <row r="473" spans="7:7" ht="14.4" customHeight="1">
      <c r="G473" s="3"/>
    </row>
    <row r="474" spans="7:7" ht="14.4" customHeight="1">
      <c r="G474" s="3"/>
    </row>
    <row r="475" spans="7:7" ht="14.4" customHeight="1">
      <c r="G475" s="3"/>
    </row>
    <row r="476" spans="7:7" ht="14.4" customHeight="1">
      <c r="G476" s="3"/>
    </row>
    <row r="477" spans="7:7" ht="14.4" customHeight="1">
      <c r="G477" s="3"/>
    </row>
    <row r="478" spans="7:7" ht="14.4" customHeight="1">
      <c r="G478" s="3"/>
    </row>
    <row r="479" spans="7:7" ht="14.4" customHeight="1">
      <c r="G479" s="3"/>
    </row>
    <row r="480" spans="7:7" ht="14.4" customHeight="1">
      <c r="G480" s="3"/>
    </row>
    <row r="481" spans="7:7" ht="14.4" customHeight="1">
      <c r="G481" s="3"/>
    </row>
    <row r="482" spans="7:7" ht="14.4" customHeight="1">
      <c r="G482" s="3"/>
    </row>
    <row r="483" spans="7:7" ht="14.4" customHeight="1">
      <c r="G483" s="3"/>
    </row>
    <row r="484" spans="7:7" ht="14.4" customHeight="1">
      <c r="G484" s="3"/>
    </row>
    <row r="485" spans="7:7" ht="14.4" customHeight="1">
      <c r="G485" s="3"/>
    </row>
    <row r="486" spans="7:7" ht="14.4" customHeight="1">
      <c r="G486" s="3"/>
    </row>
    <row r="487" spans="7:7" ht="14.4" customHeight="1">
      <c r="G487" s="3"/>
    </row>
    <row r="488" spans="7:7" ht="14.4" customHeight="1">
      <c r="G488" s="3"/>
    </row>
    <row r="489" spans="7:7" ht="14.4" customHeight="1">
      <c r="G489" s="3"/>
    </row>
    <row r="490" spans="7:7" ht="14.4" customHeight="1">
      <c r="G490" s="3"/>
    </row>
    <row r="491" spans="7:7" ht="14.4" customHeight="1">
      <c r="G491" s="3"/>
    </row>
    <row r="492" spans="7:7" ht="14.4" customHeight="1">
      <c r="G492" s="3"/>
    </row>
    <row r="493" spans="7:7" ht="14.4" customHeight="1">
      <c r="G493" s="3"/>
    </row>
    <row r="494" spans="7:7" ht="14.4" customHeight="1">
      <c r="G494" s="3"/>
    </row>
    <row r="495" spans="7:7" ht="14.4" customHeight="1">
      <c r="G495" s="3"/>
    </row>
    <row r="496" spans="7:7" ht="14.4" customHeight="1">
      <c r="G496" s="3"/>
    </row>
    <row r="497" spans="7:7" ht="14.4" customHeight="1">
      <c r="G497" s="3"/>
    </row>
    <row r="498" spans="7:7" ht="14.4" customHeight="1">
      <c r="G498" s="3"/>
    </row>
    <row r="499" spans="7:7" ht="14.4" customHeight="1">
      <c r="G499" s="3"/>
    </row>
    <row r="500" spans="7:7" ht="14.4" customHeight="1">
      <c r="G500" s="3"/>
    </row>
    <row r="501" spans="7:7" ht="14.4" customHeight="1">
      <c r="G501" s="3"/>
    </row>
    <row r="502" spans="7:7" ht="14.4" customHeight="1">
      <c r="G502" s="3"/>
    </row>
    <row r="503" spans="7:7" ht="14.4" customHeight="1">
      <c r="G503" s="3"/>
    </row>
    <row r="504" spans="7:7" ht="14.4" customHeight="1">
      <c r="G504" s="3"/>
    </row>
    <row r="505" spans="7:7" ht="14.4" customHeight="1">
      <c r="G505" s="3"/>
    </row>
    <row r="506" spans="7:7" ht="14.4" customHeight="1">
      <c r="G506" s="3"/>
    </row>
    <row r="507" spans="7:7" ht="14.4" customHeight="1">
      <c r="G507" s="3"/>
    </row>
    <row r="508" spans="7:7" ht="14.4" customHeight="1">
      <c r="G508" s="3"/>
    </row>
    <row r="509" spans="7:7" ht="14.4" customHeight="1">
      <c r="G509" s="3"/>
    </row>
    <row r="510" spans="7:7" ht="14.4" customHeight="1">
      <c r="G510" s="3"/>
    </row>
    <row r="511" spans="7:7" ht="14.4" customHeight="1">
      <c r="G511" s="3"/>
    </row>
    <row r="512" spans="7:7" ht="14.4" customHeight="1">
      <c r="G512" s="3"/>
    </row>
    <row r="513" spans="7:7" ht="14.4" customHeight="1">
      <c r="G513" s="3"/>
    </row>
    <row r="514" spans="7:7" ht="14.4" customHeight="1">
      <c r="G514" s="3"/>
    </row>
    <row r="515" spans="7:7" ht="14.4" customHeight="1">
      <c r="G515" s="3"/>
    </row>
    <row r="516" spans="7:7" ht="14.4" customHeight="1">
      <c r="G516" s="3"/>
    </row>
    <row r="517" spans="7:7" ht="14.4" customHeight="1">
      <c r="G517" s="3"/>
    </row>
    <row r="518" spans="7:7" ht="14.4" customHeight="1">
      <c r="G518" s="3"/>
    </row>
    <row r="519" spans="7:7" ht="14.4" customHeight="1">
      <c r="G519" s="3"/>
    </row>
    <row r="520" spans="7:7" ht="14.4" customHeight="1">
      <c r="G520" s="3"/>
    </row>
    <row r="521" spans="7:7" ht="14.4" customHeight="1">
      <c r="G521" s="3"/>
    </row>
    <row r="522" spans="7:7" ht="14.4" customHeight="1">
      <c r="G522" s="3"/>
    </row>
    <row r="523" spans="7:7" ht="14.4" customHeight="1">
      <c r="G523" s="3"/>
    </row>
    <row r="524" spans="7:7" ht="14.4" customHeight="1">
      <c r="G524" s="3"/>
    </row>
    <row r="525" spans="7:7" ht="14.4" customHeight="1">
      <c r="G525" s="3"/>
    </row>
    <row r="526" spans="7:7" ht="14.4" customHeight="1">
      <c r="G526" s="3"/>
    </row>
    <row r="527" spans="7:7" ht="14.4" customHeight="1">
      <c r="G527" s="3"/>
    </row>
    <row r="528" spans="7:7" ht="14.4" customHeight="1">
      <c r="G528" s="3"/>
    </row>
    <row r="529" spans="7:7" ht="14.4" customHeight="1">
      <c r="G529" s="3"/>
    </row>
    <row r="530" spans="7:7" ht="14.4" customHeight="1">
      <c r="G530" s="3"/>
    </row>
    <row r="531" spans="7:7" ht="14.4" customHeight="1">
      <c r="G531" s="3"/>
    </row>
    <row r="532" spans="7:7" ht="14.4" customHeight="1">
      <c r="G532" s="3"/>
    </row>
    <row r="533" spans="7:7" ht="14.4" customHeight="1">
      <c r="G533" s="3"/>
    </row>
    <row r="534" spans="7:7" ht="14.4" customHeight="1">
      <c r="G534" s="3"/>
    </row>
    <row r="535" spans="7:7" ht="14.4" customHeight="1">
      <c r="G535" s="3"/>
    </row>
    <row r="536" spans="7:7" ht="14.4" customHeight="1">
      <c r="G536" s="3"/>
    </row>
    <row r="537" spans="7:7" ht="14.4" customHeight="1">
      <c r="G537" s="3"/>
    </row>
    <row r="538" spans="7:7" ht="14.4" customHeight="1">
      <c r="G538" s="3"/>
    </row>
    <row r="539" spans="7:7" ht="14.4" customHeight="1">
      <c r="G539" s="3"/>
    </row>
    <row r="540" spans="7:7" ht="14.4" customHeight="1">
      <c r="G540" s="3"/>
    </row>
    <row r="541" spans="7:7" ht="14.4" customHeight="1">
      <c r="G541" s="3"/>
    </row>
    <row r="542" spans="7:7" ht="14.4" customHeight="1">
      <c r="G542" s="3"/>
    </row>
    <row r="543" spans="7:7" ht="14.4" customHeight="1">
      <c r="G543" s="3"/>
    </row>
    <row r="544" spans="7:7" ht="14.4" customHeight="1">
      <c r="G544" s="3"/>
    </row>
    <row r="545" spans="7:7" ht="14.4" customHeight="1">
      <c r="G545" s="3"/>
    </row>
    <row r="546" spans="7:7" ht="14.4" customHeight="1">
      <c r="G546" s="3"/>
    </row>
    <row r="547" spans="7:7" ht="14.4" customHeight="1">
      <c r="G547" s="3"/>
    </row>
    <row r="548" spans="7:7" ht="14.4" customHeight="1">
      <c r="G548" s="3"/>
    </row>
    <row r="549" spans="7:7" ht="14.4" customHeight="1">
      <c r="G549" s="3"/>
    </row>
    <row r="550" spans="7:7" ht="14.4" customHeight="1">
      <c r="G550" s="3"/>
    </row>
    <row r="551" spans="7:7" ht="14.4" customHeight="1">
      <c r="G551" s="3"/>
    </row>
    <row r="552" spans="7:7" ht="14.4" customHeight="1">
      <c r="G552" s="3"/>
    </row>
    <row r="553" spans="7:7" ht="14.4" customHeight="1">
      <c r="G553" s="3"/>
    </row>
    <row r="554" spans="7:7" ht="14.4" customHeight="1">
      <c r="G554" s="3"/>
    </row>
    <row r="555" spans="7:7" ht="14.4" customHeight="1">
      <c r="G555" s="3"/>
    </row>
    <row r="556" spans="7:7" ht="14.4" customHeight="1">
      <c r="G556" s="3"/>
    </row>
    <row r="557" spans="7:7" ht="14.4" customHeight="1">
      <c r="G557" s="3"/>
    </row>
    <row r="558" spans="7:7" ht="14.4" customHeight="1">
      <c r="G558" s="3"/>
    </row>
    <row r="559" spans="7:7" ht="14.4" customHeight="1">
      <c r="G559" s="3"/>
    </row>
    <row r="560" spans="7:7" ht="14.4" customHeight="1">
      <c r="G560" s="3"/>
    </row>
    <row r="561" spans="7:7" ht="14.4" customHeight="1">
      <c r="G561" s="3"/>
    </row>
    <row r="562" spans="7:7" ht="14.4" customHeight="1">
      <c r="G562" s="3"/>
    </row>
    <row r="563" spans="7:7" ht="14.4" customHeight="1">
      <c r="G563" s="3"/>
    </row>
    <row r="564" spans="7:7" ht="14.4" customHeight="1">
      <c r="G564" s="3"/>
    </row>
    <row r="565" spans="7:7" ht="14.4" customHeight="1">
      <c r="G565" s="3"/>
    </row>
    <row r="566" spans="7:7" ht="14.4" customHeight="1">
      <c r="G566" s="3"/>
    </row>
    <row r="567" spans="7:7" ht="14.4" customHeight="1">
      <c r="G567" s="3"/>
    </row>
    <row r="568" spans="7:7" ht="14.4" customHeight="1">
      <c r="G568" s="3"/>
    </row>
    <row r="569" spans="7:7" ht="14.4" customHeight="1">
      <c r="G569" s="3"/>
    </row>
    <row r="570" spans="7:7" ht="14.4" customHeight="1">
      <c r="G570" s="3"/>
    </row>
    <row r="571" spans="7:7" ht="14.4" customHeight="1">
      <c r="G571" s="3"/>
    </row>
    <row r="572" spans="7:7" ht="14.4" customHeight="1">
      <c r="G572" s="3"/>
    </row>
    <row r="573" spans="7:7" ht="14.4" customHeight="1">
      <c r="G573" s="3"/>
    </row>
    <row r="574" spans="7:7" ht="14.4" customHeight="1">
      <c r="G574" s="3"/>
    </row>
    <row r="575" spans="7:7" ht="14.4" customHeight="1">
      <c r="G575" s="3"/>
    </row>
    <row r="576" spans="7:7" ht="14.4" customHeight="1">
      <c r="G576" s="3"/>
    </row>
    <row r="577" spans="7:7" ht="14.4" customHeight="1">
      <c r="G577" s="3"/>
    </row>
    <row r="578" spans="7:7" ht="14.4" customHeight="1">
      <c r="G578" s="3"/>
    </row>
    <row r="579" spans="7:7" ht="14.4" customHeight="1">
      <c r="G579" s="3"/>
    </row>
    <row r="580" spans="7:7" ht="14.4" customHeight="1">
      <c r="G580" s="3"/>
    </row>
    <row r="581" spans="7:7" ht="14.4" customHeight="1">
      <c r="G581" s="3"/>
    </row>
    <row r="582" spans="7:7" ht="14.4" customHeight="1">
      <c r="G582" s="3"/>
    </row>
    <row r="583" spans="7:7" ht="14.4" customHeight="1">
      <c r="G583" s="3"/>
    </row>
    <row r="584" spans="7:7" ht="14.4" customHeight="1">
      <c r="G584" s="3"/>
    </row>
    <row r="585" spans="7:7" ht="14.4" customHeight="1">
      <c r="G585" s="3"/>
    </row>
    <row r="586" spans="7:7" ht="14.4" customHeight="1">
      <c r="G586" s="3"/>
    </row>
    <row r="587" spans="7:7" ht="14.4" customHeight="1">
      <c r="G587" s="3"/>
    </row>
    <row r="588" spans="7:7" ht="14.4" customHeight="1">
      <c r="G588" s="3"/>
    </row>
    <row r="589" spans="7:7" ht="14.4" customHeight="1">
      <c r="G589" s="3"/>
    </row>
    <row r="590" spans="7:7" ht="14.4" customHeight="1">
      <c r="G590" s="3"/>
    </row>
    <row r="591" spans="7:7" ht="14.4" customHeight="1">
      <c r="G591" s="3"/>
    </row>
    <row r="592" spans="7:7" ht="14.4" customHeight="1">
      <c r="G592" s="3"/>
    </row>
    <row r="593" spans="7:7" ht="14.4" customHeight="1">
      <c r="G593" s="3"/>
    </row>
    <row r="594" spans="7:7" ht="14.4" customHeight="1">
      <c r="G594" s="3"/>
    </row>
    <row r="595" spans="7:7" ht="14.4" customHeight="1">
      <c r="G595" s="3"/>
    </row>
    <row r="596" spans="7:7" ht="14.4" customHeight="1">
      <c r="G596" s="3"/>
    </row>
    <row r="597" spans="7:7" ht="14.4" customHeight="1">
      <c r="G597" s="3"/>
    </row>
    <row r="598" spans="7:7" ht="14.4" customHeight="1">
      <c r="G598" s="3"/>
    </row>
    <row r="599" spans="7:7" ht="14.4" customHeight="1">
      <c r="G599" s="3"/>
    </row>
    <row r="600" spans="7:7" ht="14.4" customHeight="1">
      <c r="G600" s="3"/>
    </row>
    <row r="601" spans="7:7" ht="14.4" customHeight="1">
      <c r="G601" s="3"/>
    </row>
    <row r="602" spans="7:7" ht="14.4" customHeight="1">
      <c r="G602" s="3"/>
    </row>
    <row r="603" spans="7:7" ht="14.4" customHeight="1">
      <c r="G603" s="3"/>
    </row>
    <row r="604" spans="7:7" ht="14.4" customHeight="1">
      <c r="G604" s="3"/>
    </row>
    <row r="605" spans="7:7" ht="14.4" customHeight="1">
      <c r="G605" s="3"/>
    </row>
    <row r="606" spans="7:7" ht="14.4" customHeight="1">
      <c r="G606" s="3"/>
    </row>
    <row r="607" spans="7:7" ht="14.4" customHeight="1">
      <c r="G607" s="3"/>
    </row>
    <row r="608" spans="7:7" ht="14.4" customHeight="1">
      <c r="G608" s="3"/>
    </row>
    <row r="609" spans="7:7" ht="14.4" customHeight="1">
      <c r="G609" s="3"/>
    </row>
    <row r="610" spans="7:7" ht="14.4" customHeight="1">
      <c r="G610" s="3"/>
    </row>
    <row r="611" spans="7:7" ht="14.4" customHeight="1">
      <c r="G611" s="3"/>
    </row>
    <row r="612" spans="7:7" ht="14.4" customHeight="1">
      <c r="G612" s="3"/>
    </row>
    <row r="613" spans="7:7" ht="14.4" customHeight="1">
      <c r="G613" s="3"/>
    </row>
    <row r="614" spans="7:7" ht="14.4" customHeight="1">
      <c r="G614" s="3"/>
    </row>
    <row r="615" spans="7:7" ht="14.4" customHeight="1">
      <c r="G615" s="3"/>
    </row>
    <row r="616" spans="7:7" ht="14.4" customHeight="1">
      <c r="G616" s="3"/>
    </row>
    <row r="617" spans="7:7" ht="14.4" customHeight="1">
      <c r="G617" s="3"/>
    </row>
    <row r="618" spans="7:7" ht="14.4" customHeight="1">
      <c r="G618" s="3"/>
    </row>
    <row r="619" spans="7:7" ht="14.4" customHeight="1">
      <c r="G619" s="3"/>
    </row>
    <row r="620" spans="7:7" ht="14.4" customHeight="1">
      <c r="G620" s="3"/>
    </row>
    <row r="621" spans="7:7" ht="14.4" customHeight="1">
      <c r="G621" s="3"/>
    </row>
    <row r="622" spans="7:7" ht="14.4" customHeight="1">
      <c r="G622" s="3"/>
    </row>
    <row r="623" spans="7:7" ht="14.4" customHeight="1">
      <c r="G623" s="3"/>
    </row>
    <row r="624" spans="7:7" ht="14.4" customHeight="1">
      <c r="G624" s="3"/>
    </row>
    <row r="625" spans="7:7" ht="14.4" customHeight="1">
      <c r="G625" s="3"/>
    </row>
    <row r="626" spans="7:7" ht="14.4" customHeight="1">
      <c r="G626" s="3"/>
    </row>
    <row r="627" spans="7:7" ht="14.4" customHeight="1">
      <c r="G627" s="3"/>
    </row>
    <row r="628" spans="7:7" ht="14.4" customHeight="1">
      <c r="G628" s="3"/>
    </row>
    <row r="629" spans="7:7" ht="14.4" customHeight="1">
      <c r="G629" s="3"/>
    </row>
    <row r="630" spans="7:7" ht="14.4" customHeight="1">
      <c r="G630" s="3"/>
    </row>
    <row r="631" spans="7:7" ht="14.4" customHeight="1">
      <c r="G631" s="3"/>
    </row>
    <row r="632" spans="7:7" ht="14.4" customHeight="1">
      <c r="G632" s="3"/>
    </row>
    <row r="633" spans="7:7" ht="14.4" customHeight="1">
      <c r="G633" s="3"/>
    </row>
    <row r="634" spans="7:7" ht="14.4" customHeight="1">
      <c r="G634" s="3"/>
    </row>
    <row r="635" spans="7:7" ht="14.4" customHeight="1">
      <c r="G635" s="3"/>
    </row>
    <row r="636" spans="7:7" ht="14.4" customHeight="1">
      <c r="G636" s="3"/>
    </row>
    <row r="637" spans="7:7" ht="14.4" customHeight="1">
      <c r="G637" s="3"/>
    </row>
    <row r="638" spans="7:7" ht="14.4" customHeight="1">
      <c r="G638" s="3"/>
    </row>
    <row r="639" spans="7:7" ht="14.4" customHeight="1">
      <c r="G639" s="3"/>
    </row>
    <row r="640" spans="7:7" ht="14.4" customHeight="1">
      <c r="G640" s="3"/>
    </row>
    <row r="641" spans="7:7" ht="14.4" customHeight="1">
      <c r="G641" s="3"/>
    </row>
    <row r="642" spans="7:7" ht="14.4" customHeight="1">
      <c r="G642" s="3"/>
    </row>
    <row r="643" spans="7:7" ht="14.4" customHeight="1">
      <c r="G643" s="3"/>
    </row>
    <row r="644" spans="7:7" ht="14.4" customHeight="1">
      <c r="G644" s="3"/>
    </row>
    <row r="645" spans="7:7" ht="14.4" customHeight="1">
      <c r="G645" s="3"/>
    </row>
    <row r="646" spans="7:7" ht="14.4" customHeight="1">
      <c r="G646" s="3"/>
    </row>
    <row r="647" spans="7:7" ht="14.4" customHeight="1">
      <c r="G647" s="3"/>
    </row>
    <row r="648" spans="7:7" ht="14.4" customHeight="1">
      <c r="G648" s="3"/>
    </row>
    <row r="649" spans="7:7" ht="14.4" customHeight="1">
      <c r="G649" s="3"/>
    </row>
    <row r="650" spans="7:7" ht="14.4" customHeight="1">
      <c r="G650" s="3"/>
    </row>
    <row r="651" spans="7:7" ht="14.4" customHeight="1">
      <c r="G651" s="3"/>
    </row>
    <row r="652" spans="7:7" ht="14.4" customHeight="1">
      <c r="G652" s="3"/>
    </row>
    <row r="653" spans="7:7" ht="14.4" customHeight="1">
      <c r="G653" s="3"/>
    </row>
    <row r="654" spans="7:7" ht="14.4" customHeight="1">
      <c r="G654" s="3"/>
    </row>
    <row r="655" spans="7:7" ht="14.4" customHeight="1">
      <c r="G655" s="3"/>
    </row>
    <row r="656" spans="7:7" ht="14.4" customHeight="1">
      <c r="G656" s="3"/>
    </row>
    <row r="657" spans="7:7" ht="14.4" customHeight="1">
      <c r="G657" s="3"/>
    </row>
    <row r="658" spans="7:7" ht="14.4" customHeight="1">
      <c r="G658" s="3"/>
    </row>
    <row r="659" spans="7:7" ht="14.4" customHeight="1">
      <c r="G659" s="3"/>
    </row>
    <row r="660" spans="7:7" ht="14.4" customHeight="1">
      <c r="G660" s="3"/>
    </row>
    <row r="661" spans="7:7" ht="14.4" customHeight="1">
      <c r="G661" s="3"/>
    </row>
    <row r="662" spans="7:7" ht="14.4" customHeight="1">
      <c r="G662" s="3"/>
    </row>
    <row r="663" spans="7:7" ht="14.4" customHeight="1">
      <c r="G663" s="3"/>
    </row>
    <row r="664" spans="7:7" ht="14.4" customHeight="1">
      <c r="G664" s="3"/>
    </row>
    <row r="665" spans="7:7" ht="14.4" customHeight="1">
      <c r="G665" s="3"/>
    </row>
    <row r="666" spans="7:7" ht="14.4" customHeight="1">
      <c r="G666" s="3"/>
    </row>
    <row r="667" spans="7:7" ht="14.4" customHeight="1">
      <c r="G667" s="3"/>
    </row>
    <row r="668" spans="7:7" ht="14.4" customHeight="1">
      <c r="G668" s="3"/>
    </row>
    <row r="669" spans="7:7" ht="14.4" customHeight="1">
      <c r="G669" s="3"/>
    </row>
    <row r="670" spans="7:7" ht="14.4" customHeight="1">
      <c r="G670" s="3"/>
    </row>
    <row r="671" spans="7:7" ht="14.4" customHeight="1">
      <c r="G671" s="3"/>
    </row>
    <row r="672" spans="7:7" ht="14.4" customHeight="1">
      <c r="G672" s="3"/>
    </row>
    <row r="673" spans="7:7" ht="14.4" customHeight="1">
      <c r="G673" s="3"/>
    </row>
    <row r="674" spans="7:7" ht="14.4" customHeight="1">
      <c r="G674" s="3"/>
    </row>
    <row r="675" spans="7:7" ht="14.4" customHeight="1">
      <c r="G675" s="3"/>
    </row>
    <row r="676" spans="7:7" ht="14.4" customHeight="1">
      <c r="G676" s="3"/>
    </row>
    <row r="677" spans="7:7" ht="14.4" customHeight="1">
      <c r="G677" s="3"/>
    </row>
    <row r="678" spans="7:7" ht="14.4" customHeight="1">
      <c r="G678" s="3"/>
    </row>
    <row r="679" spans="7:7" ht="14.4" customHeight="1">
      <c r="G679" s="3"/>
    </row>
    <row r="680" spans="7:7" ht="14.4" customHeight="1">
      <c r="G680" s="3"/>
    </row>
    <row r="681" spans="7:7" ht="14.4" customHeight="1">
      <c r="G681" s="3"/>
    </row>
    <row r="682" spans="7:7" ht="14.4" customHeight="1">
      <c r="G682" s="3"/>
    </row>
    <row r="683" spans="7:7" ht="14.4" customHeight="1">
      <c r="G683" s="3"/>
    </row>
    <row r="684" spans="7:7" ht="14.4" customHeight="1">
      <c r="G684" s="3"/>
    </row>
    <row r="685" spans="7:7" ht="14.4" customHeight="1">
      <c r="G685" s="3"/>
    </row>
    <row r="686" spans="7:7" ht="14.4" customHeight="1">
      <c r="G686" s="3"/>
    </row>
    <row r="687" spans="7:7" ht="14.4" customHeight="1">
      <c r="G687" s="3"/>
    </row>
    <row r="688" spans="7:7" ht="14.4" customHeight="1">
      <c r="G688" s="3"/>
    </row>
    <row r="689" spans="7:7" ht="14.4" customHeight="1">
      <c r="G689" s="3"/>
    </row>
    <row r="690" spans="7:7" ht="14.4" customHeight="1">
      <c r="G690" s="3"/>
    </row>
    <row r="691" spans="7:7" ht="14.4" customHeight="1">
      <c r="G691" s="3"/>
    </row>
    <row r="692" spans="7:7" ht="14.4" customHeight="1">
      <c r="G692" s="3"/>
    </row>
    <row r="693" spans="7:7" ht="14.4" customHeight="1">
      <c r="G693" s="3"/>
    </row>
    <row r="694" spans="7:7" ht="14.4" customHeight="1">
      <c r="G694" s="3"/>
    </row>
    <row r="695" spans="7:7" ht="14.4" customHeight="1">
      <c r="G695" s="3"/>
    </row>
    <row r="696" spans="7:7" ht="14.4" customHeight="1">
      <c r="G696" s="3"/>
    </row>
    <row r="697" spans="7:7" ht="14.4" customHeight="1">
      <c r="G697" s="3"/>
    </row>
    <row r="698" spans="7:7" ht="14.4" customHeight="1">
      <c r="G698" s="3"/>
    </row>
    <row r="699" spans="7:7" ht="14.4" customHeight="1">
      <c r="G699" s="3"/>
    </row>
    <row r="700" spans="7:7" ht="14.4" customHeight="1">
      <c r="G700" s="3"/>
    </row>
    <row r="701" spans="7:7" ht="14.4" customHeight="1">
      <c r="G701" s="3"/>
    </row>
    <row r="702" spans="7:7" ht="14.4" customHeight="1">
      <c r="G702" s="3"/>
    </row>
    <row r="703" spans="7:7" ht="14.4" customHeight="1">
      <c r="G703" s="3"/>
    </row>
    <row r="704" spans="7:7" ht="14.4" customHeight="1">
      <c r="G704" s="3"/>
    </row>
    <row r="705" spans="7:7" ht="14.4" customHeight="1">
      <c r="G705" s="3"/>
    </row>
    <row r="706" spans="7:7" ht="14.4" customHeight="1">
      <c r="G706" s="3"/>
    </row>
    <row r="707" spans="7:7" ht="14.4" customHeight="1">
      <c r="G707" s="3"/>
    </row>
    <row r="708" spans="7:7" ht="14.4" customHeight="1">
      <c r="G708" s="3"/>
    </row>
    <row r="709" spans="7:7" ht="14.4" customHeight="1">
      <c r="G709" s="3"/>
    </row>
    <row r="710" spans="7:7" ht="14.4" customHeight="1">
      <c r="G710" s="3"/>
    </row>
    <row r="711" spans="7:7" ht="14.4" customHeight="1">
      <c r="G711" s="3"/>
    </row>
    <row r="712" spans="7:7" ht="14.4" customHeight="1">
      <c r="G712" s="3"/>
    </row>
    <row r="713" spans="7:7" ht="14.4" customHeight="1">
      <c r="G713" s="3"/>
    </row>
    <row r="714" spans="7:7" ht="14.4" customHeight="1">
      <c r="G714" s="3"/>
    </row>
    <row r="715" spans="7:7" ht="14.4" customHeight="1">
      <c r="G715" s="3"/>
    </row>
    <row r="716" spans="7:7" ht="14.4" customHeight="1">
      <c r="G716" s="3"/>
    </row>
    <row r="717" spans="7:7" ht="14.4" customHeight="1">
      <c r="G717" s="3"/>
    </row>
    <row r="718" spans="7:7" ht="14.4" customHeight="1">
      <c r="G718" s="3"/>
    </row>
    <row r="719" spans="7:7" ht="14.4" customHeight="1">
      <c r="G719" s="3"/>
    </row>
    <row r="720" spans="7:7" ht="14.4" customHeight="1">
      <c r="G720" s="3"/>
    </row>
    <row r="721" spans="7:7" ht="14.4" customHeight="1">
      <c r="G721" s="3"/>
    </row>
    <row r="722" spans="7:7" ht="14.4" customHeight="1">
      <c r="G722" s="3"/>
    </row>
    <row r="723" spans="7:7" ht="14.4" customHeight="1">
      <c r="G723" s="3"/>
    </row>
    <row r="724" spans="7:7" ht="14.4" customHeight="1">
      <c r="G724" s="3"/>
    </row>
    <row r="725" spans="7:7" ht="14.4" customHeight="1">
      <c r="G725" s="3"/>
    </row>
    <row r="726" spans="7:7" ht="14.4" customHeight="1">
      <c r="G726" s="3"/>
    </row>
    <row r="727" spans="7:7" ht="14.4" customHeight="1">
      <c r="G727" s="3"/>
    </row>
    <row r="728" spans="7:7" ht="14.4" customHeight="1">
      <c r="G728" s="3"/>
    </row>
    <row r="729" spans="7:7" ht="14.4" customHeight="1">
      <c r="G729" s="3"/>
    </row>
    <row r="730" spans="7:7" ht="14.4" customHeight="1">
      <c r="G730" s="3"/>
    </row>
    <row r="731" spans="7:7" ht="14.4" customHeight="1">
      <c r="G731" s="3"/>
    </row>
    <row r="732" spans="7:7" ht="14.4" customHeight="1">
      <c r="G732" s="3"/>
    </row>
    <row r="733" spans="7:7" ht="14.4" customHeight="1">
      <c r="G733" s="3"/>
    </row>
    <row r="734" spans="7:7" ht="14.4" customHeight="1">
      <c r="G734" s="3"/>
    </row>
    <row r="735" spans="7:7" ht="14.4" customHeight="1">
      <c r="G735" s="3"/>
    </row>
    <row r="736" spans="7:7" ht="14.4" customHeight="1">
      <c r="G736" s="3"/>
    </row>
    <row r="737" spans="7:7" ht="14.4" customHeight="1">
      <c r="G737" s="3"/>
    </row>
    <row r="738" spans="7:7" ht="14.4" customHeight="1">
      <c r="G738" s="3"/>
    </row>
    <row r="739" spans="7:7" ht="14.4" customHeight="1">
      <c r="G739" s="3"/>
    </row>
    <row r="740" spans="7:7" ht="14.4" customHeight="1">
      <c r="G740" s="3"/>
    </row>
    <row r="741" spans="7:7" ht="14.4" customHeight="1">
      <c r="G741" s="3"/>
    </row>
    <row r="742" spans="7:7" ht="14.4" customHeight="1">
      <c r="G742" s="3"/>
    </row>
    <row r="743" spans="7:7" ht="14.4" customHeight="1">
      <c r="G743" s="3"/>
    </row>
    <row r="744" spans="7:7" ht="14.4" customHeight="1">
      <c r="G744" s="3"/>
    </row>
    <row r="745" spans="7:7" ht="14.4" customHeight="1">
      <c r="G745" s="3"/>
    </row>
    <row r="746" spans="7:7" ht="14.4" customHeight="1">
      <c r="G746" s="3"/>
    </row>
    <row r="747" spans="7:7" ht="14.4" customHeight="1">
      <c r="G747" s="3"/>
    </row>
    <row r="748" spans="7:7" ht="14.4" customHeight="1">
      <c r="G748" s="3"/>
    </row>
    <row r="749" spans="7:7" ht="14.4" customHeight="1">
      <c r="G749" s="3"/>
    </row>
    <row r="750" spans="7:7" ht="14.4" customHeight="1">
      <c r="G750" s="3"/>
    </row>
    <row r="751" spans="7:7" ht="14.4" customHeight="1">
      <c r="G751" s="3"/>
    </row>
    <row r="752" spans="7:7" ht="14.4" customHeight="1">
      <c r="G752" s="3"/>
    </row>
    <row r="753" spans="7:7" ht="14.4" customHeight="1">
      <c r="G753" s="3"/>
    </row>
    <row r="754" spans="7:7" ht="14.4" customHeight="1">
      <c r="G754" s="3"/>
    </row>
    <row r="755" spans="7:7" ht="14.4" customHeight="1">
      <c r="G755" s="3"/>
    </row>
    <row r="756" spans="7:7" ht="14.4" customHeight="1">
      <c r="G756" s="3"/>
    </row>
    <row r="757" spans="7:7" ht="14.4" customHeight="1">
      <c r="G757" s="3"/>
    </row>
    <row r="758" spans="7:7" ht="14.4" customHeight="1">
      <c r="G758" s="3"/>
    </row>
    <row r="759" spans="7:7" ht="14.4" customHeight="1">
      <c r="G759" s="3"/>
    </row>
    <row r="760" spans="7:7" ht="14.4" customHeight="1">
      <c r="G760" s="3"/>
    </row>
    <row r="761" spans="7:7" ht="14.4" customHeight="1">
      <c r="G761" s="3"/>
    </row>
    <row r="762" spans="7:7" ht="14.4" customHeight="1">
      <c r="G762" s="3"/>
    </row>
    <row r="763" spans="7:7" ht="14.4" customHeight="1">
      <c r="G763" s="3"/>
    </row>
    <row r="764" spans="7:7" ht="14.4" customHeight="1">
      <c r="G764" s="3"/>
    </row>
    <row r="765" spans="7:7" ht="14.4" customHeight="1">
      <c r="G765" s="3"/>
    </row>
    <row r="766" spans="7:7" ht="14.4" customHeight="1">
      <c r="G766" s="3"/>
    </row>
    <row r="767" spans="7:7" ht="14.4" customHeight="1">
      <c r="G767" s="3"/>
    </row>
    <row r="768" spans="7:7" ht="14.4" customHeight="1">
      <c r="G768" s="3"/>
    </row>
    <row r="769" spans="7:7" ht="14.4" customHeight="1">
      <c r="G769" s="3"/>
    </row>
    <row r="770" spans="7:7" ht="14.4" customHeight="1">
      <c r="G770" s="3"/>
    </row>
    <row r="771" spans="7:7" ht="14.4" customHeight="1">
      <c r="G771" s="3"/>
    </row>
    <row r="772" spans="7:7" ht="14.4" customHeight="1">
      <c r="G772" s="3"/>
    </row>
    <row r="773" spans="7:7" ht="14.4" customHeight="1">
      <c r="G773" s="3"/>
    </row>
    <row r="774" spans="7:7" ht="14.4" customHeight="1">
      <c r="G774" s="3"/>
    </row>
    <row r="775" spans="7:7" ht="14.4" customHeight="1">
      <c r="G775" s="3"/>
    </row>
    <row r="776" spans="7:7" ht="14.4" customHeight="1">
      <c r="G776" s="3"/>
    </row>
    <row r="777" spans="7:7" ht="14.4" customHeight="1">
      <c r="G777" s="3"/>
    </row>
    <row r="778" spans="7:7" ht="14.4" customHeight="1">
      <c r="G778" s="3"/>
    </row>
    <row r="779" spans="7:7" ht="14.4" customHeight="1">
      <c r="G779" s="3"/>
    </row>
    <row r="780" spans="7:7" ht="14.4" customHeight="1">
      <c r="G780" s="3"/>
    </row>
    <row r="781" spans="7:7" ht="14.4" customHeight="1">
      <c r="G781" s="3"/>
    </row>
    <row r="782" spans="7:7" ht="14.4" customHeight="1">
      <c r="G782" s="3"/>
    </row>
    <row r="783" spans="7:7" ht="14.4" customHeight="1">
      <c r="G783" s="3"/>
    </row>
    <row r="784" spans="7:7" ht="14.4" customHeight="1">
      <c r="G784" s="3"/>
    </row>
    <row r="785" spans="7:7" ht="14.4" customHeight="1">
      <c r="G785" s="3"/>
    </row>
    <row r="786" spans="7:7" ht="14.4" customHeight="1">
      <c r="G786" s="3"/>
    </row>
    <row r="787" spans="7:7" ht="14.4" customHeight="1">
      <c r="G787" s="3"/>
    </row>
    <row r="788" spans="7:7" ht="14.4" customHeight="1">
      <c r="G788" s="3"/>
    </row>
    <row r="789" spans="7:7" ht="14.4" customHeight="1">
      <c r="G789" s="3"/>
    </row>
    <row r="790" spans="7:7" ht="14.4" customHeight="1">
      <c r="G790" s="3"/>
    </row>
    <row r="791" spans="7:7" ht="14.4" customHeight="1">
      <c r="G791" s="3"/>
    </row>
    <row r="792" spans="7:7" ht="14.4" customHeight="1">
      <c r="G792" s="3"/>
    </row>
    <row r="793" spans="7:7" ht="14.4" customHeight="1">
      <c r="G793" s="3"/>
    </row>
    <row r="794" spans="7:7" ht="14.4" customHeight="1">
      <c r="G794" s="3"/>
    </row>
    <row r="795" spans="7:7" ht="14.4" customHeight="1">
      <c r="G795" s="3"/>
    </row>
    <row r="796" spans="7:7" ht="14.4" customHeight="1">
      <c r="G796" s="3"/>
    </row>
    <row r="797" spans="7:7" ht="14.4" customHeight="1">
      <c r="G797" s="3"/>
    </row>
    <row r="798" spans="7:7" ht="14.4" customHeight="1">
      <c r="G798" s="3"/>
    </row>
    <row r="799" spans="7:7" ht="14.4" customHeight="1">
      <c r="G799" s="3"/>
    </row>
    <row r="800" spans="7:7" ht="14.4" customHeight="1">
      <c r="G800" s="3"/>
    </row>
    <row r="801" spans="7:7" ht="14.4" customHeight="1">
      <c r="G801" s="3"/>
    </row>
    <row r="802" spans="7:7" ht="14.4" customHeight="1">
      <c r="G802" s="3"/>
    </row>
    <row r="803" spans="7:7" ht="14.4" customHeight="1">
      <c r="G803" s="3"/>
    </row>
    <row r="804" spans="7:7" ht="14.4" customHeight="1">
      <c r="G804" s="3"/>
    </row>
    <row r="805" spans="7:7" ht="14.4" customHeight="1">
      <c r="G805" s="3"/>
    </row>
    <row r="806" spans="7:7" ht="14.4" customHeight="1">
      <c r="G806" s="3"/>
    </row>
    <row r="807" spans="7:7" ht="14.4" customHeight="1">
      <c r="G807" s="3"/>
    </row>
    <row r="808" spans="7:7" ht="14.4" customHeight="1">
      <c r="G808" s="3"/>
    </row>
    <row r="809" spans="7:7" ht="14.4" customHeight="1">
      <c r="G809" s="3"/>
    </row>
    <row r="810" spans="7:7" ht="14.4" customHeight="1">
      <c r="G810" s="3"/>
    </row>
    <row r="811" spans="7:7" ht="14.4" customHeight="1">
      <c r="G811" s="3"/>
    </row>
    <row r="812" spans="7:7" ht="14.4" customHeight="1">
      <c r="G812" s="3"/>
    </row>
    <row r="813" spans="7:7" ht="14.4" customHeight="1">
      <c r="G813" s="3"/>
    </row>
    <row r="814" spans="7:7" ht="14.4" customHeight="1">
      <c r="G814" s="3"/>
    </row>
    <row r="815" spans="7:7" ht="14.4" customHeight="1">
      <c r="G815" s="3"/>
    </row>
    <row r="816" spans="7:7" ht="14.4" customHeight="1">
      <c r="G816" s="3"/>
    </row>
    <row r="817" spans="7:7" ht="14.4" customHeight="1">
      <c r="G817" s="3"/>
    </row>
    <row r="818" spans="7:7" ht="14.4" customHeight="1">
      <c r="G818" s="3"/>
    </row>
    <row r="819" spans="7:7" ht="14.4" customHeight="1">
      <c r="G819" s="3"/>
    </row>
    <row r="820" spans="7:7" ht="14.4" customHeight="1">
      <c r="G820" s="3"/>
    </row>
    <row r="821" spans="7:7" ht="14.4" customHeight="1">
      <c r="G821" s="3"/>
    </row>
    <row r="822" spans="7:7" ht="14.4" customHeight="1">
      <c r="G822" s="3"/>
    </row>
    <row r="823" spans="7:7" ht="14.4" customHeight="1">
      <c r="G823" s="3"/>
    </row>
    <row r="824" spans="7:7" ht="14.4" customHeight="1">
      <c r="G824" s="3"/>
    </row>
    <row r="825" spans="7:7" ht="14.4" customHeight="1">
      <c r="G825" s="3"/>
    </row>
    <row r="826" spans="7:7" ht="14.4" customHeight="1">
      <c r="G826" s="3"/>
    </row>
    <row r="827" spans="7:7" ht="14.4" customHeight="1">
      <c r="G827" s="3"/>
    </row>
    <row r="828" spans="7:7" ht="14.4" customHeight="1">
      <c r="G828" s="3"/>
    </row>
    <row r="829" spans="7:7" ht="14.4" customHeight="1">
      <c r="G829" s="3"/>
    </row>
    <row r="830" spans="7:7" ht="14.4" customHeight="1">
      <c r="G830" s="3"/>
    </row>
    <row r="831" spans="7:7" ht="14.4" customHeight="1">
      <c r="G831" s="3"/>
    </row>
    <row r="832" spans="7:7" ht="14.4" customHeight="1">
      <c r="G832" s="3"/>
    </row>
    <row r="833" spans="7:7" ht="14.4" customHeight="1">
      <c r="G833" s="3"/>
    </row>
    <row r="834" spans="7:7" ht="14.4" customHeight="1">
      <c r="G834" s="3"/>
    </row>
    <row r="835" spans="7:7" ht="14.4" customHeight="1">
      <c r="G835" s="3"/>
    </row>
    <row r="836" spans="7:7" ht="14.4" customHeight="1">
      <c r="G836" s="3"/>
    </row>
    <row r="837" spans="7:7" ht="14.4" customHeight="1">
      <c r="G837" s="3"/>
    </row>
    <row r="838" spans="7:7" ht="14.4" customHeight="1">
      <c r="G838" s="3"/>
    </row>
    <row r="839" spans="7:7" ht="14.4" customHeight="1">
      <c r="G839" s="3"/>
    </row>
    <row r="840" spans="7:7" ht="14.4" customHeight="1">
      <c r="G840" s="3"/>
    </row>
    <row r="841" spans="7:7" ht="14.4" customHeight="1">
      <c r="G841" s="3"/>
    </row>
    <row r="842" spans="7:7" ht="14.4" customHeight="1">
      <c r="G842" s="3"/>
    </row>
    <row r="843" spans="7:7" ht="14.4" customHeight="1">
      <c r="G843" s="3"/>
    </row>
    <row r="844" spans="7:7" ht="14.4" customHeight="1">
      <c r="G844" s="3"/>
    </row>
    <row r="845" spans="7:7" ht="14.4" customHeight="1">
      <c r="G845" s="3"/>
    </row>
    <row r="846" spans="7:7" ht="14.4" customHeight="1">
      <c r="G846" s="3"/>
    </row>
    <row r="847" spans="7:7" ht="14.4" customHeight="1">
      <c r="G847" s="3"/>
    </row>
    <row r="848" spans="7:7" ht="14.4" customHeight="1">
      <c r="G848" s="3"/>
    </row>
    <row r="849" spans="7:7" ht="14.4" customHeight="1">
      <c r="G849" s="3"/>
    </row>
    <row r="850" spans="7:7" ht="14.4" customHeight="1">
      <c r="G850" s="3"/>
    </row>
    <row r="851" spans="7:7" ht="14.4" customHeight="1">
      <c r="G851" s="3"/>
    </row>
    <row r="852" spans="7:7" ht="14.4" customHeight="1">
      <c r="G852" s="3"/>
    </row>
    <row r="853" spans="7:7" ht="14.4" customHeight="1">
      <c r="G853" s="3"/>
    </row>
    <row r="854" spans="7:7" ht="14.4" customHeight="1">
      <c r="G854" s="3"/>
    </row>
    <row r="855" spans="7:7" ht="14.4" customHeight="1">
      <c r="G855" s="3"/>
    </row>
    <row r="856" spans="7:7" ht="14.4" customHeight="1">
      <c r="G856" s="3"/>
    </row>
    <row r="857" spans="7:7" ht="14.4" customHeight="1">
      <c r="G857" s="3"/>
    </row>
    <row r="858" spans="7:7" ht="14.4" customHeight="1">
      <c r="G858" s="3"/>
    </row>
    <row r="859" spans="7:7" ht="14.4" customHeight="1">
      <c r="G859" s="3"/>
    </row>
    <row r="860" spans="7:7" ht="14.4" customHeight="1">
      <c r="G860" s="3"/>
    </row>
    <row r="861" spans="7:7" ht="14.4" customHeight="1">
      <c r="G861" s="3"/>
    </row>
    <row r="862" spans="7:7" ht="14.4" customHeight="1">
      <c r="G862" s="3"/>
    </row>
    <row r="863" spans="7:7" ht="14.4" customHeight="1">
      <c r="G863" s="3"/>
    </row>
    <row r="864" spans="7:7" ht="14.4" customHeight="1">
      <c r="G864" s="3"/>
    </row>
    <row r="865" spans="7:7" ht="14.4" customHeight="1">
      <c r="G865" s="3"/>
    </row>
    <row r="866" spans="7:7" ht="14.4" customHeight="1">
      <c r="G866" s="3"/>
    </row>
    <row r="867" spans="7:7" ht="14.4" customHeight="1">
      <c r="G867" s="3"/>
    </row>
    <row r="868" spans="7:7" ht="14.4" customHeight="1">
      <c r="G868" s="3"/>
    </row>
    <row r="869" spans="7:7" ht="14.4" customHeight="1">
      <c r="G869" s="3"/>
    </row>
    <row r="870" spans="7:7" ht="14.4" customHeight="1">
      <c r="G870" s="3"/>
    </row>
    <row r="871" spans="7:7" ht="14.4" customHeight="1">
      <c r="G871" s="3"/>
    </row>
    <row r="872" spans="7:7" ht="14.4" customHeight="1">
      <c r="G872" s="3"/>
    </row>
    <row r="873" spans="7:7" ht="14.4" customHeight="1">
      <c r="G873" s="3"/>
    </row>
    <row r="874" spans="7:7" ht="14.4" customHeight="1">
      <c r="G874" s="3"/>
    </row>
    <row r="875" spans="7:7" ht="14.4" customHeight="1">
      <c r="G875" s="3"/>
    </row>
    <row r="876" spans="7:7" ht="14.4" customHeight="1">
      <c r="G876" s="3"/>
    </row>
    <row r="877" spans="7:7" ht="14.4" customHeight="1">
      <c r="G877" s="3"/>
    </row>
    <row r="878" spans="7:7" ht="14.4" customHeight="1">
      <c r="G878" s="3"/>
    </row>
    <row r="879" spans="7:7" ht="14.4" customHeight="1">
      <c r="G879" s="3"/>
    </row>
    <row r="880" spans="7:7" ht="14.4" customHeight="1">
      <c r="G880" s="3"/>
    </row>
    <row r="881" spans="7:7" ht="14.4" customHeight="1">
      <c r="G881" s="3"/>
    </row>
    <row r="882" spans="7:7" ht="14.4" customHeight="1">
      <c r="G882" s="3"/>
    </row>
    <row r="883" spans="7:7" ht="14.4" customHeight="1">
      <c r="G883" s="3"/>
    </row>
    <row r="884" spans="7:7" ht="14.4" customHeight="1">
      <c r="G884" s="3"/>
    </row>
    <row r="885" spans="7:7" ht="14.4" customHeight="1">
      <c r="G885" s="3"/>
    </row>
    <row r="886" spans="7:7" ht="14.4" customHeight="1">
      <c r="G886" s="3"/>
    </row>
    <row r="887" spans="7:7" ht="14.4" customHeight="1">
      <c r="G887" s="3"/>
    </row>
    <row r="888" spans="7:7" ht="14.4" customHeight="1">
      <c r="G888" s="3"/>
    </row>
    <row r="889" spans="7:7" ht="14.4" customHeight="1">
      <c r="G889" s="3"/>
    </row>
    <row r="890" spans="7:7" ht="14.4" customHeight="1">
      <c r="G890" s="3"/>
    </row>
    <row r="891" spans="7:7" ht="14.4" customHeight="1">
      <c r="G891" s="3"/>
    </row>
    <row r="892" spans="7:7" ht="14.4" customHeight="1">
      <c r="G892" s="3"/>
    </row>
    <row r="893" spans="7:7" ht="14.4" customHeight="1">
      <c r="G893" s="3"/>
    </row>
    <row r="894" spans="7:7" ht="14.4" customHeight="1">
      <c r="G894" s="3"/>
    </row>
    <row r="895" spans="7:7" ht="14.4" customHeight="1">
      <c r="G895" s="3"/>
    </row>
    <row r="896" spans="7:7" ht="14.4" customHeight="1">
      <c r="G896" s="3"/>
    </row>
    <row r="897" spans="7:7" ht="14.4" customHeight="1">
      <c r="G897" s="3"/>
    </row>
    <row r="898" spans="7:7" ht="14.4" customHeight="1">
      <c r="G898" s="3"/>
    </row>
    <row r="899" spans="7:7" ht="14.4" customHeight="1">
      <c r="G899" s="3"/>
    </row>
    <row r="900" spans="7:7" ht="14.4" customHeight="1">
      <c r="G900" s="3"/>
    </row>
    <row r="901" spans="7:7" ht="14.4" customHeight="1">
      <c r="G901" s="3"/>
    </row>
    <row r="902" spans="7:7" ht="14.4" customHeight="1">
      <c r="G902" s="3"/>
    </row>
    <row r="903" spans="7:7" ht="14.4" customHeight="1">
      <c r="G903" s="3"/>
    </row>
    <row r="904" spans="7:7" ht="14.4" customHeight="1">
      <c r="G904" s="3"/>
    </row>
    <row r="905" spans="7:7" ht="14.4" customHeight="1">
      <c r="G905" s="3"/>
    </row>
    <row r="906" spans="7:7" ht="14.4" customHeight="1">
      <c r="G906" s="3"/>
    </row>
    <row r="907" spans="7:7" ht="14.4" customHeight="1">
      <c r="G907" s="3"/>
    </row>
    <row r="908" spans="7:7" ht="14.4" customHeight="1">
      <c r="G908" s="3"/>
    </row>
    <row r="909" spans="7:7" ht="14.4" customHeight="1">
      <c r="G909" s="3"/>
    </row>
    <row r="910" spans="7:7" ht="14.4" customHeight="1">
      <c r="G910" s="3"/>
    </row>
    <row r="911" spans="7:7" ht="14.4" customHeight="1">
      <c r="G911" s="3"/>
    </row>
    <row r="912" spans="7:7" ht="14.4" customHeight="1">
      <c r="G912" s="3"/>
    </row>
    <row r="913" spans="7:7" ht="14.4" customHeight="1">
      <c r="G913" s="3"/>
    </row>
    <row r="914" spans="7:7" ht="14.4" customHeight="1">
      <c r="G914" s="3"/>
    </row>
    <row r="915" spans="7:7" ht="14.4" customHeight="1">
      <c r="G915" s="3"/>
    </row>
    <row r="916" spans="7:7" ht="14.4" customHeight="1">
      <c r="G916" s="3"/>
    </row>
    <row r="917" spans="7:7" ht="14.4" customHeight="1">
      <c r="G917" s="3"/>
    </row>
    <row r="918" spans="7:7" ht="14.4" customHeight="1">
      <c r="G918" s="3"/>
    </row>
    <row r="919" spans="7:7" ht="14.4" customHeight="1">
      <c r="G919" s="3"/>
    </row>
    <row r="920" spans="7:7" ht="14.4" customHeight="1">
      <c r="G920" s="3"/>
    </row>
    <row r="921" spans="7:7" ht="14.4" customHeight="1">
      <c r="G921" s="3"/>
    </row>
    <row r="922" spans="7:7" ht="14.4" customHeight="1">
      <c r="G922" s="3"/>
    </row>
    <row r="923" spans="7:7" ht="14.4" customHeight="1">
      <c r="G923" s="3"/>
    </row>
    <row r="924" spans="7:7" ht="14.4" customHeight="1">
      <c r="G924" s="3"/>
    </row>
    <row r="925" spans="7:7" ht="14.4" customHeight="1">
      <c r="G925" s="3"/>
    </row>
    <row r="926" spans="7:7" ht="14.4" customHeight="1">
      <c r="G926" s="3"/>
    </row>
    <row r="927" spans="7:7" ht="14.4" customHeight="1">
      <c r="G927" s="3"/>
    </row>
    <row r="928" spans="7:7" ht="14.4" customHeight="1">
      <c r="G928" s="3"/>
    </row>
    <row r="929" spans="7:7" ht="14.4" customHeight="1">
      <c r="G929" s="3"/>
    </row>
    <row r="930" spans="7:7" ht="14.4" customHeight="1">
      <c r="G930" s="3"/>
    </row>
    <row r="931" spans="7:7" ht="14.4" customHeight="1">
      <c r="G931" s="3"/>
    </row>
    <row r="932" spans="7:7" ht="14.4" customHeight="1">
      <c r="G932" s="3"/>
    </row>
    <row r="933" spans="7:7" ht="14.4" customHeight="1">
      <c r="G933" s="3"/>
    </row>
    <row r="934" spans="7:7" ht="14.4" customHeight="1">
      <c r="G934" s="3"/>
    </row>
    <row r="935" spans="7:7" ht="14.4" customHeight="1">
      <c r="G935" s="3"/>
    </row>
    <row r="936" spans="7:7" ht="14.4" customHeight="1">
      <c r="G936" s="3"/>
    </row>
    <row r="937" spans="7:7" ht="14.4" customHeight="1">
      <c r="G937" s="3"/>
    </row>
    <row r="938" spans="7:7" ht="14.4" customHeight="1">
      <c r="G938" s="3"/>
    </row>
    <row r="939" spans="7:7" ht="14.4" customHeight="1">
      <c r="G939" s="3"/>
    </row>
    <row r="940" spans="7:7" ht="14.4" customHeight="1">
      <c r="G940" s="3"/>
    </row>
    <row r="941" spans="7:7" ht="14.4" customHeight="1">
      <c r="G941" s="3"/>
    </row>
    <row r="942" spans="7:7" ht="14.4" customHeight="1">
      <c r="G942" s="3"/>
    </row>
    <row r="943" spans="7:7" ht="14.4" customHeight="1">
      <c r="G943" s="3"/>
    </row>
    <row r="944" spans="7:7" ht="14.4" customHeight="1">
      <c r="G944" s="3"/>
    </row>
    <row r="945" spans="7:7" ht="14.4" customHeight="1">
      <c r="G945" s="3"/>
    </row>
    <row r="946" spans="7:7" ht="14.4" customHeight="1">
      <c r="G946" s="3"/>
    </row>
    <row r="947" spans="7:7" ht="14.4" customHeight="1">
      <c r="G947" s="3"/>
    </row>
    <row r="948" spans="7:7" ht="14.4" customHeight="1">
      <c r="G948" s="3"/>
    </row>
    <row r="949" spans="7:7" ht="14.4" customHeight="1">
      <c r="G949" s="3"/>
    </row>
    <row r="950" spans="7:7" ht="14.4" customHeight="1">
      <c r="G950" s="3"/>
    </row>
    <row r="951" spans="7:7" ht="14.4" customHeight="1">
      <c r="G951" s="3"/>
    </row>
    <row r="952" spans="7:7" ht="14.4" customHeight="1">
      <c r="G952" s="3"/>
    </row>
    <row r="953" spans="7:7" ht="14.4" customHeight="1">
      <c r="G953" s="3"/>
    </row>
    <row r="954" spans="7:7" ht="14.4" customHeight="1">
      <c r="G954" s="3"/>
    </row>
    <row r="955" spans="7:7" ht="14.4" customHeight="1">
      <c r="G955" s="3"/>
    </row>
    <row r="956" spans="7:7" ht="14.4" customHeight="1">
      <c r="G956" s="3"/>
    </row>
    <row r="957" spans="7:7" ht="14.4" customHeight="1">
      <c r="G957" s="3"/>
    </row>
    <row r="958" spans="7:7" ht="14.4" customHeight="1">
      <c r="G958" s="3"/>
    </row>
    <row r="959" spans="7:7" ht="14.4" customHeight="1">
      <c r="G959" s="3"/>
    </row>
    <row r="960" spans="7:7" ht="14.4" customHeight="1">
      <c r="G960" s="3"/>
    </row>
    <row r="961" spans="7:7" ht="14.4" customHeight="1">
      <c r="G961" s="3"/>
    </row>
    <row r="962" spans="7:7" ht="14.4" customHeight="1">
      <c r="G962" s="3"/>
    </row>
    <row r="963" spans="7:7" ht="14.4" customHeight="1">
      <c r="G963" s="3"/>
    </row>
    <row r="964" spans="7:7" ht="14.4" customHeight="1">
      <c r="G964" s="3"/>
    </row>
    <row r="965" spans="7:7" ht="14.4" customHeight="1">
      <c r="G965" s="3"/>
    </row>
    <row r="966" spans="7:7" ht="14.4" customHeight="1">
      <c r="G966" s="3"/>
    </row>
    <row r="967" spans="7:7" ht="14.4" customHeight="1">
      <c r="G967" s="3"/>
    </row>
    <row r="968" spans="7:7" ht="14.4" customHeight="1">
      <c r="G968" s="3"/>
    </row>
    <row r="969" spans="7:7" ht="14.4" customHeight="1">
      <c r="G969" s="3"/>
    </row>
    <row r="970" spans="7:7" ht="14.4" customHeight="1">
      <c r="G970" s="3"/>
    </row>
    <row r="971" spans="7:7" ht="14.4" customHeight="1">
      <c r="G971" s="3"/>
    </row>
    <row r="972" spans="7:7" ht="14.4" customHeight="1">
      <c r="G972" s="3"/>
    </row>
    <row r="973" spans="7:7" ht="14.4" customHeight="1">
      <c r="G973" s="3"/>
    </row>
    <row r="974" spans="7:7" ht="14.4" customHeight="1">
      <c r="G974" s="3"/>
    </row>
    <row r="975" spans="7:7" ht="14.4" customHeight="1">
      <c r="G975" s="3"/>
    </row>
    <row r="976" spans="7:7" ht="14.4" customHeight="1">
      <c r="G976" s="3"/>
    </row>
    <row r="977" spans="7:7" ht="14.4" customHeight="1">
      <c r="G977" s="3"/>
    </row>
    <row r="978" spans="7:7" ht="14.4" customHeight="1">
      <c r="G978" s="3"/>
    </row>
    <row r="979" spans="7:7" ht="14.4" customHeight="1">
      <c r="G979" s="3"/>
    </row>
    <row r="980" spans="7:7" ht="14.4" customHeight="1">
      <c r="G980" s="3"/>
    </row>
    <row r="981" spans="7:7" ht="14.4" customHeight="1">
      <c r="G981" s="3"/>
    </row>
    <row r="982" spans="7:7" ht="14.4" customHeight="1">
      <c r="G982" s="3"/>
    </row>
    <row r="983" spans="7:7" ht="14.4" customHeight="1">
      <c r="G983" s="3"/>
    </row>
    <row r="984" spans="7:7" ht="14.4" customHeight="1">
      <c r="G984" s="3"/>
    </row>
    <row r="985" spans="7:7" ht="14.4" customHeight="1">
      <c r="G985" s="3"/>
    </row>
    <row r="986" spans="7:7" ht="14.4" customHeight="1">
      <c r="G986" s="3"/>
    </row>
    <row r="987" spans="7:7" ht="14.4" customHeight="1">
      <c r="G987" s="3"/>
    </row>
    <row r="988" spans="7:7" ht="14.4" customHeight="1">
      <c r="G988" s="3"/>
    </row>
    <row r="989" spans="7:7" ht="14.4" customHeight="1">
      <c r="G989" s="3"/>
    </row>
    <row r="990" spans="7:7" ht="14.4" customHeight="1">
      <c r="G990" s="3"/>
    </row>
    <row r="991" spans="7:7" ht="14.4" customHeight="1">
      <c r="G991" s="3"/>
    </row>
    <row r="992" spans="7:7" ht="14.4" customHeight="1">
      <c r="G992" s="3"/>
    </row>
    <row r="993" spans="7:7" ht="14.4" customHeight="1">
      <c r="G993" s="3"/>
    </row>
    <row r="994" spans="7:7" ht="14.4" customHeight="1">
      <c r="G994" s="3"/>
    </row>
    <row r="995" spans="7:7" ht="14.4" customHeight="1">
      <c r="G995" s="3"/>
    </row>
    <row r="996" spans="7:7" ht="14.4" customHeight="1">
      <c r="G996" s="3"/>
    </row>
    <row r="997" spans="7:7" ht="14.4" customHeight="1">
      <c r="G997" s="3"/>
    </row>
    <row r="998" spans="7:7" ht="14.4" customHeight="1">
      <c r="G998" s="3"/>
    </row>
    <row r="999" spans="7:7" ht="14.4" customHeight="1">
      <c r="G999" s="3"/>
    </row>
    <row r="1000" spans="7:7" ht="14.4" customHeight="1">
      <c r="G1000" s="3"/>
    </row>
    <row r="1001" spans="7:7" ht="14.4" customHeight="1">
      <c r="G1001" s="3"/>
    </row>
    <row r="1002" spans="7:7" ht="14.4" customHeight="1">
      <c r="G1002" s="3"/>
    </row>
    <row r="1003" spans="7:7" ht="14.4" customHeight="1">
      <c r="G1003" s="3"/>
    </row>
    <row r="1004" spans="7:7" ht="14.4" customHeight="1">
      <c r="G1004" s="3"/>
    </row>
    <row r="1005" spans="7:7" ht="14.4" customHeight="1">
      <c r="G1005" s="3"/>
    </row>
    <row r="1006" spans="7:7" ht="14.4" customHeight="1">
      <c r="G1006" s="3"/>
    </row>
    <row r="1007" spans="7:7" ht="14.4" customHeight="1">
      <c r="G1007" s="3"/>
    </row>
    <row r="1008" spans="7:7" ht="14.4" customHeight="1">
      <c r="G1008" s="3"/>
    </row>
    <row r="1009" spans="7:7" ht="14.4" customHeight="1">
      <c r="G1009" s="3"/>
    </row>
    <row r="1010" spans="7:7" ht="14.4" customHeight="1">
      <c r="G1010" s="3"/>
    </row>
    <row r="1011" spans="7:7" ht="14.4" customHeight="1">
      <c r="G1011" s="3"/>
    </row>
    <row r="1012" spans="7:7" ht="14.4" customHeight="1">
      <c r="G1012" s="3"/>
    </row>
    <row r="1013" spans="7:7" ht="14.4" customHeight="1">
      <c r="G1013" s="3"/>
    </row>
    <row r="1014" spans="7:7" ht="14.4" customHeight="1">
      <c r="G1014" s="3"/>
    </row>
    <row r="1015" spans="7:7" ht="14.4" customHeight="1">
      <c r="G1015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419A-94EE-4A85-9D86-31E9A7F07733}">
  <sheetPr>
    <outlinePr summaryBelow="0" summaryRight="0"/>
  </sheetPr>
  <dimension ref="B1:N1014"/>
  <sheetViews>
    <sheetView topLeftCell="G1" workbookViewId="0">
      <selection activeCell="N4" sqref="N4:N52"/>
    </sheetView>
  </sheetViews>
  <sheetFormatPr defaultColWidth="12.6640625" defaultRowHeight="14.4" customHeight="1"/>
  <cols>
    <col min="1" max="1" width="3.33203125" customWidth="1"/>
    <col min="2" max="2" width="11.6640625" style="5" bestFit="1" customWidth="1"/>
    <col min="3" max="3" width="23" customWidth="1"/>
    <col min="4" max="4" width="23" style="5" customWidth="1"/>
    <col min="5" max="5" width="23" customWidth="1"/>
    <col min="6" max="6" width="23" style="5" customWidth="1"/>
    <col min="7" max="7" width="43.88671875" bestFit="1" customWidth="1"/>
    <col min="8" max="8" width="55.33203125" customWidth="1"/>
    <col min="9" max="10" width="12.6640625" customWidth="1"/>
    <col min="11" max="11" width="19.21875" style="25" customWidth="1"/>
    <col min="12" max="12" width="16.21875" customWidth="1"/>
  </cols>
  <sheetData>
    <row r="1" spans="2:14" ht="14.4" customHeight="1">
      <c r="I1" s="3"/>
    </row>
    <row r="2" spans="2:14" ht="14.4" customHeight="1">
      <c r="B2" s="6" t="s">
        <v>56</v>
      </c>
      <c r="C2" s="7" t="s">
        <v>2</v>
      </c>
      <c r="D2" s="34" t="s">
        <v>143</v>
      </c>
      <c r="E2" s="7" t="s">
        <v>3</v>
      </c>
      <c r="F2" s="34" t="s">
        <v>148</v>
      </c>
      <c r="G2" s="7" t="s">
        <v>0</v>
      </c>
      <c r="H2" s="7" t="s">
        <v>1</v>
      </c>
      <c r="I2" s="7" t="s">
        <v>4</v>
      </c>
      <c r="J2" s="8" t="s">
        <v>57</v>
      </c>
      <c r="K2" s="8" t="s">
        <v>58</v>
      </c>
      <c r="L2" s="7" t="s">
        <v>5</v>
      </c>
      <c r="M2" s="9"/>
    </row>
    <row r="3" spans="2:14" ht="14.4" customHeight="1">
      <c r="B3" s="10" t="s">
        <v>59</v>
      </c>
      <c r="C3" s="11" t="s">
        <v>60</v>
      </c>
      <c r="D3" s="35" t="s">
        <v>144</v>
      </c>
      <c r="E3" s="11" t="s">
        <v>29</v>
      </c>
      <c r="F3" s="35" t="s">
        <v>149</v>
      </c>
      <c r="G3" s="11" t="s">
        <v>30</v>
      </c>
      <c r="H3" s="11" t="s">
        <v>61</v>
      </c>
      <c r="I3" s="11" t="s">
        <v>31</v>
      </c>
      <c r="J3" s="12"/>
      <c r="K3" s="12" t="s">
        <v>62</v>
      </c>
      <c r="L3" s="11" t="s">
        <v>32</v>
      </c>
      <c r="M3" s="9" t="s">
        <v>131</v>
      </c>
    </row>
    <row r="4" spans="2:14" ht="17.399999999999999">
      <c r="B4" s="13">
        <v>1</v>
      </c>
      <c r="C4" s="14" t="s">
        <v>6</v>
      </c>
      <c r="D4" s="36" t="s">
        <v>145</v>
      </c>
      <c r="E4" s="14" t="s">
        <v>7</v>
      </c>
      <c r="F4" s="40" t="s">
        <v>164</v>
      </c>
      <c r="G4" s="14" t="s">
        <v>8</v>
      </c>
      <c r="H4" s="15">
        <v>2970</v>
      </c>
      <c r="I4" s="16">
        <v>1</v>
      </c>
      <c r="J4" s="17">
        <f t="shared" ref="J4:J52" si="0">H4*I4</f>
        <v>2970</v>
      </c>
      <c r="K4" s="26" t="s">
        <v>63</v>
      </c>
      <c r="L4" s="19" t="s">
        <v>9</v>
      </c>
      <c r="M4" s="9" t="str">
        <f>_xlfn.CONCAT("{""",$B$3,""":""",B4,""",""",$D$3,""":""",D4,""",""",$F$3,""":""",F4,""",""",$G$3,""":""",G4,""",""",$H$3,""":""",H4,""",""",$I$3,""":""",I4,""",""",$J$3,""":""",J4,""",""",$K$3,""":""",K4,"""},")</f>
        <v>{"ITM_SEQ":"1","TYPE_CODE":"03","TYPE_DTL_CODE":"0301","ITM_NM":"캘리포니아센트 스필프루프 코로나도","PRICE":"2970","UNIT":"1","":"2970","IMG":"캘리포니아센트 스필프루프 코로나도.jpg"},</v>
      </c>
      <c r="N4" t="str">
        <f>_xlfn.CONCAT("""",F4,"""")</f>
        <v>"0301"</v>
      </c>
    </row>
    <row r="5" spans="2:14" ht="14.4" customHeight="1">
      <c r="B5" s="20">
        <v>2</v>
      </c>
      <c r="C5" s="14" t="s">
        <v>6</v>
      </c>
      <c r="D5" s="36" t="s">
        <v>145</v>
      </c>
      <c r="E5" s="14" t="s">
        <v>7</v>
      </c>
      <c r="F5" s="40" t="s">
        <v>164</v>
      </c>
      <c r="G5" s="14" t="s">
        <v>10</v>
      </c>
      <c r="H5" s="15">
        <v>6100</v>
      </c>
      <c r="I5" s="16">
        <v>1</v>
      </c>
      <c r="J5" s="17">
        <f t="shared" si="0"/>
        <v>6100</v>
      </c>
      <c r="K5" s="26" t="s">
        <v>64</v>
      </c>
      <c r="L5" s="19"/>
      <c r="M5" s="9" t="str">
        <f t="shared" ref="M5:M52" si="1">_xlfn.CONCAT("{""",$B$3,""":""",B5,""",""",$D$3,""":""",D5,""",""",$F$3,""":""",F5,""",""",$G$3,""":""",G5,""",""",$H$3,""":""",H5,""",""",$I$3,""":""",I5,""",""",$J$3,""":""",J5,""",""",$K$3,""":""",K5,"""},")</f>
        <v>{"ITM_SEQ":"2","TYPE_CODE":"03","TYPE_DTL_CODE":"0301","ITM_NM":"젠틀 디퓨저 블랙로즈","PRICE":"6100","UNIT":"1","":"6100","IMG":"젠틀 디퓨저 블랙로즈.jpg"},</v>
      </c>
      <c r="N5" t="str">
        <f t="shared" ref="N5:N52" si="2">_xlfn.CONCAT("""",F5,"""")</f>
        <v>"0301"</v>
      </c>
    </row>
    <row r="6" spans="2:14" ht="14.4" customHeight="1">
      <c r="B6" s="13">
        <v>3</v>
      </c>
      <c r="C6" s="14" t="s">
        <v>6</v>
      </c>
      <c r="D6" s="36" t="s">
        <v>145</v>
      </c>
      <c r="E6" s="14" t="s">
        <v>7</v>
      </c>
      <c r="F6" s="40" t="s">
        <v>164</v>
      </c>
      <c r="G6" s="18" t="s">
        <v>65</v>
      </c>
      <c r="H6" s="15">
        <v>8760</v>
      </c>
      <c r="I6" s="16">
        <v>1</v>
      </c>
      <c r="J6" s="17">
        <f t="shared" si="0"/>
        <v>8760</v>
      </c>
      <c r="K6" s="26" t="s">
        <v>66</v>
      </c>
      <c r="L6" s="19"/>
      <c r="M6" s="9" t="str">
        <f t="shared" si="1"/>
        <v>{"ITM_SEQ":"3","TYPE_CODE":"03","TYPE_DTL_CODE":"0301","ITM_NM":"에멜시 차량용 방향제 170ml 헤블린 오션","PRICE":"8760","UNIT":"1","":"8760","IMG":"에멜시 차량용 방향제 170ml 헤블린 오션.jpg"},</v>
      </c>
      <c r="N6" t="str">
        <f t="shared" si="2"/>
        <v>"0301"</v>
      </c>
    </row>
    <row r="7" spans="2:14" ht="14.4" customHeight="1">
      <c r="B7" s="20">
        <v>4</v>
      </c>
      <c r="C7" s="14" t="s">
        <v>6</v>
      </c>
      <c r="D7" s="36" t="s">
        <v>145</v>
      </c>
      <c r="E7" s="14" t="s">
        <v>7</v>
      </c>
      <c r="F7" s="40" t="s">
        <v>164</v>
      </c>
      <c r="G7" s="18" t="s">
        <v>67</v>
      </c>
      <c r="H7" s="15">
        <v>8990</v>
      </c>
      <c r="I7" s="16">
        <v>1</v>
      </c>
      <c r="J7" s="17">
        <f t="shared" si="0"/>
        <v>8990</v>
      </c>
      <c r="K7" s="26" t="s">
        <v>68</v>
      </c>
      <c r="L7" s="19"/>
      <c r="M7" s="9" t="str">
        <f t="shared" si="1"/>
        <v>{"ITM_SEQ":"4","TYPE_CODE":"03","TYPE_DTL_CODE":"0301","ITM_NM":"그라스 디퓨저 105ml 블랙베리&amp;체리","PRICE":"8990","UNIT":"1","":"8990","IMG":"그라스 디퓨저 105ml 블랙베리&amp;체리.jpg"},</v>
      </c>
      <c r="N7" t="str">
        <f t="shared" si="2"/>
        <v>"0301"</v>
      </c>
    </row>
    <row r="8" spans="2:14" ht="14.4" customHeight="1">
      <c r="B8" s="13">
        <v>5</v>
      </c>
      <c r="C8" s="14" t="s">
        <v>6</v>
      </c>
      <c r="D8" s="36" t="s">
        <v>145</v>
      </c>
      <c r="E8" s="14" t="s">
        <v>11</v>
      </c>
      <c r="F8" s="40" t="s">
        <v>165</v>
      </c>
      <c r="G8" s="18" t="s">
        <v>69</v>
      </c>
      <c r="H8" s="15">
        <v>6150</v>
      </c>
      <c r="I8" s="16">
        <v>1</v>
      </c>
      <c r="J8" s="17">
        <f t="shared" si="0"/>
        <v>6150</v>
      </c>
      <c r="K8" s="26" t="s">
        <v>70</v>
      </c>
      <c r="L8" s="19"/>
      <c r="M8" s="9" t="str">
        <f t="shared" si="1"/>
        <v>{"ITM_SEQ":"5","TYPE_CODE":"03","TYPE_DTL_CODE":"0302","ITM_NM":"다우니 프리미엄 세탁세제 액체형 실내건조","PRICE":"6150","UNIT":"1","":"6150","IMG":"다우니 프리미엄 세탁세제 액체형 실내건조.jpg"},</v>
      </c>
      <c r="N8" t="str">
        <f t="shared" si="2"/>
        <v>"0302"</v>
      </c>
    </row>
    <row r="9" spans="2:14" ht="14.4" customHeight="1">
      <c r="B9" s="20">
        <v>6</v>
      </c>
      <c r="C9" s="14" t="s">
        <v>6</v>
      </c>
      <c r="D9" s="36" t="s">
        <v>145</v>
      </c>
      <c r="E9" s="14" t="s">
        <v>71</v>
      </c>
      <c r="F9" s="40" t="s">
        <v>166</v>
      </c>
      <c r="G9" s="18" t="s">
        <v>72</v>
      </c>
      <c r="H9" s="15">
        <v>25280</v>
      </c>
      <c r="I9" s="16">
        <v>1</v>
      </c>
      <c r="J9" s="17">
        <f t="shared" si="0"/>
        <v>25280</v>
      </c>
      <c r="K9" s="26" t="s">
        <v>73</v>
      </c>
      <c r="L9" s="19"/>
      <c r="M9" s="9" t="str">
        <f t="shared" si="1"/>
        <v>{"ITM_SEQ":"6","TYPE_CODE":"03","TYPE_DTL_CODE":"0303","ITM_NM":"비트 마사지 건 HMS-12","PRICE":"25280","UNIT":"1","":"25280","IMG":"비트 마사지 건 HMS-12.jpg"},</v>
      </c>
      <c r="N9" t="str">
        <f t="shared" si="2"/>
        <v>"0303"</v>
      </c>
    </row>
    <row r="10" spans="2:14" ht="14.4" customHeight="1">
      <c r="B10" s="13">
        <v>7</v>
      </c>
      <c r="C10" s="14" t="s">
        <v>6</v>
      </c>
      <c r="D10" s="36" t="s">
        <v>145</v>
      </c>
      <c r="E10" s="14" t="s">
        <v>74</v>
      </c>
      <c r="F10" s="40" t="s">
        <v>167</v>
      </c>
      <c r="G10" s="18" t="s">
        <v>75</v>
      </c>
      <c r="H10" s="15">
        <v>13280</v>
      </c>
      <c r="I10" s="16">
        <v>1</v>
      </c>
      <c r="J10" s="17">
        <f t="shared" si="0"/>
        <v>13280</v>
      </c>
      <c r="K10" s="26" t="s">
        <v>76</v>
      </c>
      <c r="L10" s="19"/>
      <c r="M10" s="9" t="str">
        <f t="shared" si="1"/>
        <v>{"ITM_SEQ":"7","TYPE_CODE":"03","TYPE_DTL_CODE":"0304","ITM_NM":"질레트 프로쉴드 옐로우 면도날 4입","PRICE":"13280","UNIT":"1","":"13280","IMG":"질레트 프로쉴드 옐로우 면도날 4입.jpg"},</v>
      </c>
      <c r="N10" t="str">
        <f t="shared" si="2"/>
        <v>"0304"</v>
      </c>
    </row>
    <row r="11" spans="2:14" ht="14.4" customHeight="1">
      <c r="B11" s="20">
        <v>8</v>
      </c>
      <c r="C11" s="14" t="s">
        <v>12</v>
      </c>
      <c r="D11" s="40" t="s">
        <v>146</v>
      </c>
      <c r="E11" s="14" t="s">
        <v>13</v>
      </c>
      <c r="F11" s="36" t="s">
        <v>150</v>
      </c>
      <c r="G11" s="18" t="s">
        <v>77</v>
      </c>
      <c r="H11" s="15">
        <v>1250</v>
      </c>
      <c r="I11" s="16">
        <v>12</v>
      </c>
      <c r="J11" s="17">
        <f t="shared" si="0"/>
        <v>15000</v>
      </c>
      <c r="K11" s="26" t="s">
        <v>78</v>
      </c>
      <c r="L11" s="19"/>
      <c r="M11" s="9" t="str">
        <f t="shared" si="1"/>
        <v>{"ITM_SEQ":"8","TYPE_CODE":"01","TYPE_DTL_CODE":"0101","ITM_NM":"프링글스양파맛","PRICE":"1250","UNIT":"12","":"15000","IMG":"프링글스양파맛.jpg"},</v>
      </c>
      <c r="N11" t="str">
        <f t="shared" si="2"/>
        <v>"0101"</v>
      </c>
    </row>
    <row r="12" spans="2:14" ht="14.4" customHeight="1">
      <c r="B12" s="13">
        <v>9</v>
      </c>
      <c r="C12" s="14" t="s">
        <v>12</v>
      </c>
      <c r="D12" s="40" t="s">
        <v>146</v>
      </c>
      <c r="E12" s="14" t="s">
        <v>13</v>
      </c>
      <c r="F12" s="36" t="s">
        <v>150</v>
      </c>
      <c r="G12" s="18" t="s">
        <v>79</v>
      </c>
      <c r="H12" s="15">
        <v>1400</v>
      </c>
      <c r="I12" s="16">
        <v>12</v>
      </c>
      <c r="J12" s="17">
        <f t="shared" si="0"/>
        <v>16800</v>
      </c>
      <c r="K12" s="27" t="s">
        <v>35</v>
      </c>
      <c r="L12" s="19"/>
      <c r="M12" s="9" t="str">
        <f t="shared" si="1"/>
        <v>{"ITM_SEQ":"9","TYPE_CODE":"01","TYPE_DTL_CODE":"0101","ITM_NM":"프링글스 리치치즈갈릭","PRICE":"1400","UNIT":"12","":"16800","IMG":"프링글스 리치치즈갈릭.jpg"},</v>
      </c>
      <c r="N12" t="str">
        <f t="shared" si="2"/>
        <v>"0101"</v>
      </c>
    </row>
    <row r="13" spans="2:14" ht="14.4" customHeight="1">
      <c r="B13" s="20">
        <v>10</v>
      </c>
      <c r="C13" s="14" t="s">
        <v>12</v>
      </c>
      <c r="D13" s="40" t="s">
        <v>146</v>
      </c>
      <c r="E13" s="14" t="s">
        <v>13</v>
      </c>
      <c r="F13" s="36" t="s">
        <v>150</v>
      </c>
      <c r="G13" s="1" t="s">
        <v>80</v>
      </c>
      <c r="H13" s="2">
        <v>1250</v>
      </c>
      <c r="I13" s="16">
        <v>12</v>
      </c>
      <c r="J13" s="17">
        <f t="shared" si="0"/>
        <v>15000</v>
      </c>
      <c r="K13" s="27" t="s">
        <v>81</v>
      </c>
      <c r="L13" s="19"/>
      <c r="M13" s="9" t="str">
        <f t="shared" si="1"/>
        <v>{"ITM_SEQ":"10","TYPE_CODE":"01","TYPE_DTL_CODE":"0101","ITM_NM":"프링글스 버터카라멜","PRICE":"1250","UNIT":"12","":"15000","IMG":"프링글스 버터카라멜.jpg"},</v>
      </c>
      <c r="N13" t="str">
        <f t="shared" si="2"/>
        <v>"0101"</v>
      </c>
    </row>
    <row r="14" spans="2:14" ht="14.4" customHeight="1">
      <c r="B14" s="13">
        <v>11</v>
      </c>
      <c r="C14" s="14" t="s">
        <v>12</v>
      </c>
      <c r="D14" s="40" t="s">
        <v>146</v>
      </c>
      <c r="E14" s="14" t="s">
        <v>13</v>
      </c>
      <c r="F14" s="36" t="s">
        <v>150</v>
      </c>
      <c r="G14" s="1" t="s">
        <v>82</v>
      </c>
      <c r="H14" s="2">
        <v>1250</v>
      </c>
      <c r="I14" s="16">
        <v>12</v>
      </c>
      <c r="J14" s="17">
        <f t="shared" si="0"/>
        <v>15000</v>
      </c>
      <c r="K14" s="27" t="s">
        <v>83</v>
      </c>
      <c r="L14" s="19"/>
      <c r="M14" s="9" t="str">
        <f t="shared" si="1"/>
        <v>{"ITM_SEQ":"11","TYPE_CODE":"01","TYPE_DTL_CODE":"0101","ITM_NM":"프링글스 핫앤스파이시","PRICE":"1250","UNIT":"12","":"15000","IMG":"프링글스 핫앤스파이시.jpg"},</v>
      </c>
      <c r="N14" t="str">
        <f t="shared" si="2"/>
        <v>"0101"</v>
      </c>
    </row>
    <row r="15" spans="2:14" ht="14.4" customHeight="1">
      <c r="B15" s="20">
        <v>12</v>
      </c>
      <c r="C15" s="14" t="s">
        <v>12</v>
      </c>
      <c r="D15" s="40" t="s">
        <v>146</v>
      </c>
      <c r="E15" s="14" t="s">
        <v>13</v>
      </c>
      <c r="F15" s="36" t="s">
        <v>150</v>
      </c>
      <c r="G15" s="18" t="s">
        <v>84</v>
      </c>
      <c r="H15" s="15">
        <v>450</v>
      </c>
      <c r="I15" s="16">
        <v>15</v>
      </c>
      <c r="J15" s="17">
        <f t="shared" si="0"/>
        <v>6750</v>
      </c>
      <c r="K15" s="27" t="s">
        <v>85</v>
      </c>
      <c r="L15" s="19"/>
      <c r="M15" s="9" t="str">
        <f t="shared" si="1"/>
        <v>{"ITM_SEQ":"12","TYPE_CODE":"01","TYPE_DTL_CODE":"0101","ITM_NM":"키커바","PRICE":"450","UNIT":"15","":"6750","IMG":"키커바.png"},</v>
      </c>
      <c r="N15" t="str">
        <f t="shared" si="2"/>
        <v>"0101"</v>
      </c>
    </row>
    <row r="16" spans="2:14" ht="14.4" customHeight="1">
      <c r="B16" s="20">
        <v>12</v>
      </c>
      <c r="C16" s="14" t="s">
        <v>12</v>
      </c>
      <c r="D16" s="40" t="s">
        <v>146</v>
      </c>
      <c r="E16" s="14" t="s">
        <v>13</v>
      </c>
      <c r="F16" s="36" t="s">
        <v>150</v>
      </c>
      <c r="G16" s="18" t="s">
        <v>137</v>
      </c>
      <c r="H16" s="15">
        <v>7130</v>
      </c>
      <c r="I16" s="16">
        <v>1</v>
      </c>
      <c r="J16" s="17">
        <f t="shared" si="0"/>
        <v>7130</v>
      </c>
      <c r="K16" s="32" t="s">
        <v>138</v>
      </c>
      <c r="L16" s="19"/>
      <c r="M16" s="9" t="str">
        <f t="shared" si="1"/>
        <v>{"ITM_SEQ":"12","TYPE_CODE":"01","TYPE_DTL_CODE":"0101","ITM_NM":"코주부 CLASSIC 육포 Mild 130g","PRICE":"7130","UNIT":"1","":"7130","IMG":"코주부 CLASSIC 육포 Mild 130g.jpg"},</v>
      </c>
      <c r="N16" t="str">
        <f t="shared" si="2"/>
        <v>"0101"</v>
      </c>
    </row>
    <row r="17" spans="2:14" ht="14.4" customHeight="1">
      <c r="B17" s="20">
        <v>12</v>
      </c>
      <c r="C17" s="14" t="s">
        <v>12</v>
      </c>
      <c r="D17" s="40" t="s">
        <v>146</v>
      </c>
      <c r="E17" s="14" t="s">
        <v>13</v>
      </c>
      <c r="F17" s="36" t="s">
        <v>150</v>
      </c>
      <c r="G17" s="18" t="s">
        <v>139</v>
      </c>
      <c r="H17" s="15">
        <v>6040</v>
      </c>
      <c r="I17" s="16">
        <v>1</v>
      </c>
      <c r="J17" s="17">
        <f t="shared" si="0"/>
        <v>6040</v>
      </c>
      <c r="K17" s="32" t="s">
        <v>140</v>
      </c>
      <c r="L17" s="19"/>
      <c r="M17" s="9" t="str">
        <f t="shared" si="1"/>
        <v>{"ITM_SEQ":"12","TYPE_CODE":"01","TYPE_DTL_CODE":"0101","ITM_NM":"코주부 CLASSIC 육포 HOT &amp; SPICY 130g","PRICE":"6040","UNIT":"1","":"6040","IMG":"코주부 CLASSIC 육포 HOT &amp; SPICY 130g.jpg"},</v>
      </c>
      <c r="N17" t="str">
        <f t="shared" si="2"/>
        <v>"0101"</v>
      </c>
    </row>
    <row r="18" spans="2:14" ht="14.4" customHeight="1">
      <c r="B18" s="13">
        <v>13</v>
      </c>
      <c r="C18" s="14" t="s">
        <v>12</v>
      </c>
      <c r="D18" s="40" t="s">
        <v>146</v>
      </c>
      <c r="E18" s="14" t="s">
        <v>14</v>
      </c>
      <c r="F18" s="40" t="s">
        <v>151</v>
      </c>
      <c r="G18" s="18" t="s">
        <v>86</v>
      </c>
      <c r="H18" s="15">
        <v>680</v>
      </c>
      <c r="I18" s="16">
        <v>20</v>
      </c>
      <c r="J18" s="17">
        <f t="shared" si="0"/>
        <v>13600</v>
      </c>
      <c r="K18" s="27" t="s">
        <v>33</v>
      </c>
      <c r="L18" s="19"/>
      <c r="M18" s="9" t="str">
        <f t="shared" si="1"/>
        <v>{"ITM_SEQ":"13","TYPE_CODE":"01","TYPE_DTL_CODE":"0102","ITM_NM":"펩시제로슈거라임 500ml","PRICE":"680","UNIT":"20","":"13600","IMG":"펩시제로슈거라임 500ml.jpg"},</v>
      </c>
      <c r="N18" t="str">
        <f t="shared" si="2"/>
        <v>"0102"</v>
      </c>
    </row>
    <row r="19" spans="2:14" ht="14.4" customHeight="1">
      <c r="B19" s="20">
        <v>14</v>
      </c>
      <c r="C19" s="14" t="s">
        <v>12</v>
      </c>
      <c r="D19" s="40" t="s">
        <v>146</v>
      </c>
      <c r="E19" s="14" t="s">
        <v>14</v>
      </c>
      <c r="F19" s="40" t="s">
        <v>151</v>
      </c>
      <c r="G19" s="18" t="s">
        <v>87</v>
      </c>
      <c r="H19" s="15">
        <v>710</v>
      </c>
      <c r="I19" s="16">
        <v>24</v>
      </c>
      <c r="J19" s="17">
        <f t="shared" si="0"/>
        <v>17040</v>
      </c>
      <c r="K19" s="27" t="s">
        <v>34</v>
      </c>
      <c r="L19" s="19"/>
      <c r="M19" s="9" t="str">
        <f t="shared" si="1"/>
        <v>{"ITM_SEQ":"14","TYPE_CODE":"01","TYPE_DTL_CODE":"0102","ITM_NM":"핫식스더킹러쉬 355ml","PRICE":"710","UNIT":"24","":"17040","IMG":"핫식스더킹러쉬 355ml.jpg"},</v>
      </c>
      <c r="N19" t="str">
        <f t="shared" si="2"/>
        <v>"0102"</v>
      </c>
    </row>
    <row r="20" spans="2:14" ht="14.4" customHeight="1">
      <c r="B20" s="13">
        <v>15</v>
      </c>
      <c r="C20" s="14" t="s">
        <v>12</v>
      </c>
      <c r="D20" s="40" t="s">
        <v>146</v>
      </c>
      <c r="E20" s="14" t="s">
        <v>14</v>
      </c>
      <c r="F20" s="40" t="s">
        <v>151</v>
      </c>
      <c r="G20" s="18" t="s">
        <v>88</v>
      </c>
      <c r="H20" s="15">
        <v>740</v>
      </c>
      <c r="I20" s="16">
        <v>24</v>
      </c>
      <c r="J20" s="17">
        <f t="shared" si="0"/>
        <v>17760</v>
      </c>
      <c r="K20" s="27" t="s">
        <v>36</v>
      </c>
      <c r="L20" s="19"/>
      <c r="M20" s="9" t="str">
        <f t="shared" si="1"/>
        <v>{"ITM_SEQ":"15","TYPE_CODE":"01","TYPE_DTL_CODE":"0102","ITM_NM":"핫식스더킹파워 355ml","PRICE":"740","UNIT":"24","":"17760","IMG":"핫식스더킹파워 355ml.jpg"},</v>
      </c>
      <c r="N20" t="str">
        <f t="shared" si="2"/>
        <v>"0102"</v>
      </c>
    </row>
    <row r="21" spans="2:14" ht="14.4" customHeight="1">
      <c r="B21" s="20">
        <v>16</v>
      </c>
      <c r="C21" s="14" t="s">
        <v>12</v>
      </c>
      <c r="D21" s="40" t="s">
        <v>146</v>
      </c>
      <c r="E21" s="14" t="s">
        <v>14</v>
      </c>
      <c r="F21" s="40" t="s">
        <v>151</v>
      </c>
      <c r="G21" s="18" t="s">
        <v>89</v>
      </c>
      <c r="H21" s="15">
        <v>1420</v>
      </c>
      <c r="I21" s="16">
        <v>24</v>
      </c>
      <c r="J21" s="17">
        <f t="shared" si="0"/>
        <v>34080</v>
      </c>
      <c r="K21" s="27" t="s">
        <v>37</v>
      </c>
      <c r="L21" s="19"/>
      <c r="M21" s="9" t="str">
        <f t="shared" si="1"/>
        <v>{"ITM_SEQ":"16","TYPE_CODE":"01","TYPE_DTL_CODE":"0102","ITM_NM":"몬스터에너지 울트라 355ml","PRICE":"1420","UNIT":"24","":"34080","IMG":"몬스터에너지 울트라 355ml.jpg"},</v>
      </c>
      <c r="N21" t="str">
        <f t="shared" si="2"/>
        <v>"0102"</v>
      </c>
    </row>
    <row r="22" spans="2:14" ht="14.4" customHeight="1">
      <c r="B22" s="13">
        <v>17</v>
      </c>
      <c r="C22" s="14" t="s">
        <v>12</v>
      </c>
      <c r="D22" s="40" t="s">
        <v>146</v>
      </c>
      <c r="E22" s="43" t="s">
        <v>168</v>
      </c>
      <c r="F22" s="40" t="s">
        <v>152</v>
      </c>
      <c r="G22" s="18" t="s">
        <v>90</v>
      </c>
      <c r="H22" s="15">
        <v>620</v>
      </c>
      <c r="I22" s="16">
        <v>36</v>
      </c>
      <c r="J22" s="17">
        <f t="shared" si="0"/>
        <v>22320</v>
      </c>
      <c r="K22" s="27" t="s">
        <v>38</v>
      </c>
      <c r="L22" s="19"/>
      <c r="M22" s="9" t="str">
        <f t="shared" si="1"/>
        <v>{"ITM_SEQ":"17","TYPE_CODE":"01","TYPE_DTL_CODE":"0103","ITM_NM":"햇반 130g","PRICE":"620","UNIT":"36","":"22320","IMG":"햇반 130g.jpg"},</v>
      </c>
      <c r="N22" t="str">
        <f t="shared" si="2"/>
        <v>"0103"</v>
      </c>
    </row>
    <row r="23" spans="2:14" ht="14.4" customHeight="1">
      <c r="B23" s="20">
        <v>18</v>
      </c>
      <c r="C23" s="14" t="s">
        <v>12</v>
      </c>
      <c r="D23" s="40" t="s">
        <v>146</v>
      </c>
      <c r="E23" s="14" t="s">
        <v>15</v>
      </c>
      <c r="F23" s="40" t="s">
        <v>152</v>
      </c>
      <c r="G23" s="18" t="s">
        <v>127</v>
      </c>
      <c r="H23" s="15">
        <v>1100</v>
      </c>
      <c r="I23" s="16">
        <v>24</v>
      </c>
      <c r="J23" s="17">
        <f t="shared" si="0"/>
        <v>26400</v>
      </c>
      <c r="K23" s="32" t="s">
        <v>128</v>
      </c>
      <c r="L23" s="19"/>
      <c r="M23" s="9" t="str">
        <f t="shared" si="1"/>
        <v>{"ITM_SEQ":"18","TYPE_CODE":"01","TYPE_DTL_CODE":"0103","ITM_NM":"햇반 210g","PRICE":"1100","UNIT":"24","":"26400","IMG":"햇반 210g.jpg"},</v>
      </c>
      <c r="N23" t="str">
        <f t="shared" si="2"/>
        <v>"0103"</v>
      </c>
    </row>
    <row r="24" spans="2:14" ht="14.4" customHeight="1">
      <c r="B24" s="13">
        <v>19</v>
      </c>
      <c r="C24" s="14" t="s">
        <v>12</v>
      </c>
      <c r="D24" s="40" t="s">
        <v>146</v>
      </c>
      <c r="E24" s="14" t="s">
        <v>15</v>
      </c>
      <c r="F24" s="40" t="s">
        <v>152</v>
      </c>
      <c r="G24" s="18" t="s">
        <v>129</v>
      </c>
      <c r="H24" s="15">
        <v>850</v>
      </c>
      <c r="I24" s="16">
        <v>24</v>
      </c>
      <c r="J24" s="17">
        <f t="shared" si="0"/>
        <v>20400</v>
      </c>
      <c r="K24" s="32" t="s">
        <v>132</v>
      </c>
      <c r="L24" s="19"/>
      <c r="M24" s="9" t="str">
        <f t="shared" si="1"/>
        <v>{"ITM_SEQ":"19","TYPE_CODE":"01","TYPE_DTL_CODE":"0103","ITM_NM":"맛있는 오뚜기밥 210g","PRICE":"850","UNIT":"24","":"20400","IMG":"맛있는 오뚜기밥 210g.png"},</v>
      </c>
      <c r="N24" t="str">
        <f t="shared" si="2"/>
        <v>"0103"</v>
      </c>
    </row>
    <row r="25" spans="2:14" ht="14.4" customHeight="1">
      <c r="B25" s="20">
        <v>20</v>
      </c>
      <c r="C25" s="14" t="s">
        <v>12</v>
      </c>
      <c r="D25" s="40" t="s">
        <v>146</v>
      </c>
      <c r="E25" s="14" t="s">
        <v>15</v>
      </c>
      <c r="F25" s="40" t="s">
        <v>152</v>
      </c>
      <c r="G25" s="18" t="s">
        <v>133</v>
      </c>
      <c r="H25" s="15">
        <v>800</v>
      </c>
      <c r="I25" s="16">
        <v>24</v>
      </c>
      <c r="J25" s="17">
        <f>H25*I25</f>
        <v>19200</v>
      </c>
      <c r="K25" s="32" t="s">
        <v>136</v>
      </c>
      <c r="L25" s="19"/>
      <c r="M25" s="9" t="str">
        <f t="shared" si="1"/>
        <v>{"ITM_SEQ":"20","TYPE_CODE":"01","TYPE_DTL_CODE":"0103","ITM_NM":"햇반흑미밥 130g","PRICE":"800","UNIT":"24","":"19200","IMG":"햇반흑미밥 130g.jpg"},</v>
      </c>
      <c r="N25" t="str">
        <f t="shared" si="2"/>
        <v>"0103"</v>
      </c>
    </row>
    <row r="26" spans="2:14" ht="14.4" customHeight="1">
      <c r="B26" s="13">
        <v>21</v>
      </c>
      <c r="C26" s="14" t="s">
        <v>12</v>
      </c>
      <c r="D26" s="40" t="s">
        <v>146</v>
      </c>
      <c r="E26" s="14" t="s">
        <v>15</v>
      </c>
      <c r="F26" s="40" t="s">
        <v>152</v>
      </c>
      <c r="G26" s="18" t="s">
        <v>134</v>
      </c>
      <c r="H26" s="15">
        <v>1010</v>
      </c>
      <c r="I26" s="16">
        <v>24</v>
      </c>
      <c r="J26" s="17">
        <f>H26*I26</f>
        <v>24240</v>
      </c>
      <c r="K26" s="32" t="s">
        <v>135</v>
      </c>
      <c r="L26" s="19"/>
      <c r="M26" s="9" t="str">
        <f t="shared" si="1"/>
        <v>{"ITM_SEQ":"21","TYPE_CODE":"01","TYPE_DTL_CODE":"0103","ITM_NM":"햇반 매일잡곡밥 210g","PRICE":"1010","UNIT":"24","":"24240","IMG":"햇반 매일잡곡밥 210g.jpg"},</v>
      </c>
      <c r="N26" t="str">
        <f t="shared" si="2"/>
        <v>"0103"</v>
      </c>
    </row>
    <row r="27" spans="2:14" ht="14.4" customHeight="1">
      <c r="B27" s="20">
        <v>22</v>
      </c>
      <c r="C27" s="14" t="s">
        <v>12</v>
      </c>
      <c r="D27" s="40" t="s">
        <v>146</v>
      </c>
      <c r="E27" s="33" t="s">
        <v>130</v>
      </c>
      <c r="F27" s="42" t="s">
        <v>153</v>
      </c>
      <c r="G27" s="18" t="s">
        <v>141</v>
      </c>
      <c r="H27" s="15">
        <v>530</v>
      </c>
      <c r="I27" s="16">
        <v>15</v>
      </c>
      <c r="J27" s="17">
        <f t="shared" si="0"/>
        <v>7950</v>
      </c>
      <c r="K27" s="32" t="s">
        <v>142</v>
      </c>
      <c r="L27" s="19"/>
      <c r="M27" s="9" t="str">
        <f t="shared" si="1"/>
        <v>{"ITM_SEQ":"22","TYPE_CODE":"01","TYPE_DTL_CODE":"0104","ITM_NM":"오뚜기 컵누들 매콤한 맛","PRICE":"530","UNIT":"15","":"7950","IMG":"오뚜기 컵누들 매콤한 맛.jpg"},</v>
      </c>
      <c r="N27" t="str">
        <f t="shared" si="2"/>
        <v>"0104"</v>
      </c>
    </row>
    <row r="28" spans="2:14" ht="14.4" customHeight="1">
      <c r="B28" s="13">
        <v>23</v>
      </c>
      <c r="C28" s="14" t="s">
        <v>12</v>
      </c>
      <c r="D28" s="40" t="s">
        <v>146</v>
      </c>
      <c r="E28" s="14" t="s">
        <v>16</v>
      </c>
      <c r="F28" s="40" t="s">
        <v>154</v>
      </c>
      <c r="G28" s="18" t="s">
        <v>91</v>
      </c>
      <c r="H28" s="15">
        <v>2550</v>
      </c>
      <c r="I28" s="16">
        <v>1</v>
      </c>
      <c r="J28" s="17">
        <f t="shared" si="0"/>
        <v>2550</v>
      </c>
      <c r="K28" s="27" t="s">
        <v>39</v>
      </c>
      <c r="L28" s="19"/>
      <c r="M28" s="9" t="str">
        <f t="shared" si="1"/>
        <v>{"ITM_SEQ":"23","TYPE_CODE":"01","TYPE_DTL_CODE":"0105","ITM_NM":"쟈뎅 아워티 콤푸차 레몬 10p","PRICE":"2550","UNIT":"1","":"2550","IMG":"쟈뎅 아워티 콤푸차 레몬 10p.jpg"},</v>
      </c>
      <c r="N28" t="str">
        <f t="shared" si="2"/>
        <v>"0105"</v>
      </c>
    </row>
    <row r="29" spans="2:14" ht="14.4" customHeight="1">
      <c r="B29" s="20">
        <v>24</v>
      </c>
      <c r="C29" s="14" t="s">
        <v>12</v>
      </c>
      <c r="D29" s="40" t="s">
        <v>146</v>
      </c>
      <c r="E29" s="14" t="s">
        <v>16</v>
      </c>
      <c r="F29" s="40" t="s">
        <v>154</v>
      </c>
      <c r="G29" s="18" t="s">
        <v>92</v>
      </c>
      <c r="H29" s="15">
        <v>2550</v>
      </c>
      <c r="I29" s="16">
        <v>1</v>
      </c>
      <c r="J29" s="17">
        <f t="shared" si="0"/>
        <v>2550</v>
      </c>
      <c r="K29" s="27" t="s">
        <v>40</v>
      </c>
      <c r="L29" s="19"/>
      <c r="M29" s="9" t="str">
        <f t="shared" si="1"/>
        <v>{"ITM_SEQ":"24","TYPE_CODE":"01","TYPE_DTL_CODE":"0105","ITM_NM":"쟈뎅 아워티 콤푸차 베리 10p","PRICE":"2550","UNIT":"1","":"2550","IMG":"쟈뎅 아워티 콤푸차 베리 10p.jpg"},</v>
      </c>
      <c r="N29" t="str">
        <f t="shared" si="2"/>
        <v>"0105"</v>
      </c>
    </row>
    <row r="30" spans="2:14" ht="14.4" customHeight="1">
      <c r="B30" s="13">
        <v>25</v>
      </c>
      <c r="C30" s="14" t="s">
        <v>12</v>
      </c>
      <c r="D30" s="40" t="s">
        <v>146</v>
      </c>
      <c r="E30" s="14" t="s">
        <v>16</v>
      </c>
      <c r="F30" s="40" t="s">
        <v>154</v>
      </c>
      <c r="G30" s="18" t="s">
        <v>93</v>
      </c>
      <c r="H30" s="15">
        <v>2550</v>
      </c>
      <c r="I30" s="16">
        <v>1</v>
      </c>
      <c r="J30" s="17">
        <f t="shared" si="0"/>
        <v>2550</v>
      </c>
      <c r="K30" s="26" t="s">
        <v>94</v>
      </c>
      <c r="L30" s="19"/>
      <c r="M30" s="9" t="str">
        <f t="shared" si="1"/>
        <v>{"ITM_SEQ":"25","TYPE_CODE":"01","TYPE_DTL_CODE":"0105","ITM_NM":"쟈뎅 아워티 콤푸차 자몽 10p","PRICE":"2550","UNIT":"1","":"2550","IMG":"쟈뎅 아워티 콤푸차 자몽 10p.png"},</v>
      </c>
      <c r="N30" t="str">
        <f t="shared" si="2"/>
        <v>"0105"</v>
      </c>
    </row>
    <row r="31" spans="2:14" ht="14.4" customHeight="1">
      <c r="B31" s="20">
        <v>26</v>
      </c>
      <c r="C31" s="14" t="s">
        <v>12</v>
      </c>
      <c r="D31" s="40" t="s">
        <v>146</v>
      </c>
      <c r="E31" s="14" t="s">
        <v>17</v>
      </c>
      <c r="F31" s="40" t="s">
        <v>155</v>
      </c>
      <c r="G31" s="18" t="s">
        <v>95</v>
      </c>
      <c r="H31" s="15">
        <v>570</v>
      </c>
      <c r="I31" s="16">
        <v>8</v>
      </c>
      <c r="J31" s="17">
        <f t="shared" si="0"/>
        <v>4560</v>
      </c>
      <c r="K31" s="27" t="s">
        <v>41</v>
      </c>
      <c r="L31" s="19"/>
      <c r="M31" s="9" t="str">
        <f t="shared" si="1"/>
        <v>{"ITM_SEQ":"26","TYPE_CODE":"01","TYPE_DTL_CODE":"0106","ITM_NM":"박카스맛젤리","PRICE":"570","UNIT":"8","":"4560","IMG":"박카스맛젤리.jpg"},</v>
      </c>
      <c r="N31" t="str">
        <f t="shared" si="2"/>
        <v>"0106"</v>
      </c>
    </row>
    <row r="32" spans="2:14" ht="14.4" customHeight="1">
      <c r="B32" s="13">
        <v>27</v>
      </c>
      <c r="C32" s="14" t="s">
        <v>12</v>
      </c>
      <c r="D32" s="40" t="s">
        <v>146</v>
      </c>
      <c r="E32" s="14" t="s">
        <v>17</v>
      </c>
      <c r="F32" s="40" t="s">
        <v>155</v>
      </c>
      <c r="G32" s="18" t="s">
        <v>96</v>
      </c>
      <c r="H32" s="15">
        <v>960</v>
      </c>
      <c r="I32" s="16">
        <v>8</v>
      </c>
      <c r="J32" s="17">
        <f t="shared" si="0"/>
        <v>7680</v>
      </c>
      <c r="K32" s="27" t="s">
        <v>42</v>
      </c>
      <c r="L32" s="19"/>
      <c r="M32" s="9" t="str">
        <f t="shared" si="1"/>
        <v>{"ITM_SEQ":"27","TYPE_CODE":"01","TYPE_DTL_CODE":"0106","ITM_NM":"이클립스 페퍼민트향 34g","PRICE":"960","UNIT":"8","":"7680","IMG":"이클립스 페퍼민트향 34g.jpg"},</v>
      </c>
      <c r="N32" t="str">
        <f t="shared" si="2"/>
        <v>"0106"</v>
      </c>
    </row>
    <row r="33" spans="2:14" ht="14.4" customHeight="1">
      <c r="B33" s="20">
        <v>28</v>
      </c>
      <c r="C33" s="14" t="s">
        <v>12</v>
      </c>
      <c r="D33" s="40" t="s">
        <v>146</v>
      </c>
      <c r="E33" s="14" t="s">
        <v>17</v>
      </c>
      <c r="F33" s="40" t="s">
        <v>155</v>
      </c>
      <c r="G33" s="18" t="s">
        <v>97</v>
      </c>
      <c r="H33" s="15">
        <v>990</v>
      </c>
      <c r="I33" s="16">
        <v>8</v>
      </c>
      <c r="J33" s="17">
        <f t="shared" si="0"/>
        <v>7920</v>
      </c>
      <c r="K33" s="27" t="s">
        <v>43</v>
      </c>
      <c r="L33" s="19"/>
      <c r="M33" s="9" t="str">
        <f t="shared" si="1"/>
        <v>{"ITM_SEQ":"28","TYPE_CODE":"01","TYPE_DTL_CODE":"0106","ITM_NM":"이클립스 피치향 34g","PRICE":"990","UNIT":"8","":"7920","IMG":"이클립스 피치향 34g.jpg"},</v>
      </c>
      <c r="N33" t="str">
        <f t="shared" si="2"/>
        <v>"0106"</v>
      </c>
    </row>
    <row r="34" spans="2:14" ht="14.4" customHeight="1">
      <c r="B34" s="13">
        <v>29</v>
      </c>
      <c r="C34" s="14" t="s">
        <v>12</v>
      </c>
      <c r="D34" s="40" t="s">
        <v>146</v>
      </c>
      <c r="E34" s="14" t="s">
        <v>27</v>
      </c>
      <c r="F34" s="40" t="s">
        <v>156</v>
      </c>
      <c r="G34" s="14" t="s">
        <v>98</v>
      </c>
      <c r="H34" s="15">
        <v>36960</v>
      </c>
      <c r="I34" s="16">
        <v>1</v>
      </c>
      <c r="J34" s="17">
        <f t="shared" si="0"/>
        <v>36960</v>
      </c>
      <c r="K34" s="27" t="s">
        <v>99</v>
      </c>
      <c r="L34" s="19"/>
      <c r="M34" s="9" t="str">
        <f t="shared" si="1"/>
        <v>{"ITM_SEQ":"29","TYPE_CODE":"01","TYPE_DTL_CODE":"0107","ITM_NM":"맥스빌더","PRICE":"36960","UNIT":"1","":"36960","IMG":"맥스빌더.jpg"},</v>
      </c>
      <c r="N34" t="str">
        <f t="shared" si="2"/>
        <v>"0107"</v>
      </c>
    </row>
    <row r="35" spans="2:14" ht="14.4" customHeight="1">
      <c r="B35" s="20">
        <v>30</v>
      </c>
      <c r="C35" s="14" t="s">
        <v>12</v>
      </c>
      <c r="D35" s="40" t="s">
        <v>146</v>
      </c>
      <c r="E35" s="14" t="s">
        <v>113</v>
      </c>
      <c r="F35" s="40" t="s">
        <v>157</v>
      </c>
      <c r="G35" s="14" t="s">
        <v>114</v>
      </c>
      <c r="H35" s="15">
        <v>440</v>
      </c>
      <c r="I35" s="16">
        <v>12</v>
      </c>
      <c r="J35" s="17">
        <f t="shared" si="0"/>
        <v>5280</v>
      </c>
      <c r="K35" s="27" t="s">
        <v>115</v>
      </c>
      <c r="L35" s="19"/>
      <c r="M35" s="9" t="str">
        <f t="shared" si="1"/>
        <v>{"ITM_SEQ":"30","TYPE_CODE":"01","TYPE_DTL_CODE":"0108","ITM_NM":"롯데햄 키스틱 더블치즈 소시지","PRICE":"440","UNIT":"12","":"5280","IMG":"롯데햄 키스틱 더블치즈 소시지.jpg"},</v>
      </c>
      <c r="N35" t="str">
        <f t="shared" si="2"/>
        <v>"0108"</v>
      </c>
    </row>
    <row r="36" spans="2:14" ht="14.4" customHeight="1">
      <c r="B36" s="13">
        <v>31</v>
      </c>
      <c r="C36" s="14" t="s">
        <v>12</v>
      </c>
      <c r="D36" s="40" t="s">
        <v>146</v>
      </c>
      <c r="E36" s="14" t="s">
        <v>113</v>
      </c>
      <c r="F36" s="40" t="s">
        <v>157</v>
      </c>
      <c r="G36" s="14" t="s">
        <v>116</v>
      </c>
      <c r="H36" s="15">
        <v>660</v>
      </c>
      <c r="I36" s="16">
        <v>12</v>
      </c>
      <c r="J36" s="17">
        <f t="shared" si="0"/>
        <v>7920</v>
      </c>
      <c r="K36" s="27" t="s">
        <v>117</v>
      </c>
      <c r="L36" s="19"/>
      <c r="M36" s="9" t="str">
        <f t="shared" si="1"/>
        <v>{"ITM_SEQ":"31","TYPE_CODE":"01","TYPE_DTL_CODE":"0108","ITM_NM":"키스틱","PRICE":"660","UNIT":"12","":"7920","IMG":"키스틱.jpg"},</v>
      </c>
      <c r="N36" t="str">
        <f t="shared" si="2"/>
        <v>"0108"</v>
      </c>
    </row>
    <row r="37" spans="2:14" ht="14.4" customHeight="1">
      <c r="B37" s="20">
        <v>32</v>
      </c>
      <c r="C37" s="14" t="s">
        <v>12</v>
      </c>
      <c r="D37" s="40" t="s">
        <v>146</v>
      </c>
      <c r="E37" s="14" t="s">
        <v>118</v>
      </c>
      <c r="F37" s="40" t="s">
        <v>158</v>
      </c>
      <c r="G37" s="30" t="s">
        <v>121</v>
      </c>
      <c r="H37" s="15">
        <v>960</v>
      </c>
      <c r="I37" s="16">
        <v>10</v>
      </c>
      <c r="J37" s="17">
        <f t="shared" si="0"/>
        <v>9600</v>
      </c>
      <c r="K37" s="31" t="s">
        <v>123</v>
      </c>
      <c r="L37" s="19"/>
      <c r="M37" s="9" t="str">
        <f t="shared" si="1"/>
        <v>{"ITM_SEQ":"32","TYPE_CODE":"01","TYPE_DTL_CODE":"0109","ITM_NM":"퀘이커 마시는오트밀 오트&amp;그레인, 50g","PRICE":"960","UNIT":"10","":"9600","IMG":"퀘이커 마시는오트밀 오트&amp;그레인, 50g.jpg"},</v>
      </c>
      <c r="N37" t="str">
        <f t="shared" si="2"/>
        <v>"0109"</v>
      </c>
    </row>
    <row r="38" spans="2:14" ht="14.4" customHeight="1">
      <c r="B38" s="13">
        <v>33</v>
      </c>
      <c r="C38" s="14" t="s">
        <v>12</v>
      </c>
      <c r="D38" s="40" t="s">
        <v>146</v>
      </c>
      <c r="E38" s="14" t="s">
        <v>118</v>
      </c>
      <c r="F38" s="40" t="s">
        <v>158</v>
      </c>
      <c r="G38" s="30" t="s">
        <v>122</v>
      </c>
      <c r="H38" s="15">
        <v>940</v>
      </c>
      <c r="I38" s="16">
        <v>10</v>
      </c>
      <c r="J38" s="17">
        <f t="shared" si="0"/>
        <v>9400</v>
      </c>
      <c r="K38" s="31" t="s">
        <v>124</v>
      </c>
      <c r="L38" s="19"/>
      <c r="M38" s="9" t="str">
        <f t="shared" si="1"/>
        <v>{"ITM_SEQ":"33","TYPE_CODE":"01","TYPE_DTL_CODE":"0109","ITM_NM":"퀘이커 마시는 오트밀 오트&amp;우리쌀, 50g","PRICE":"940","UNIT":"10","":"9400","IMG":"퀘이커 마시는 오트밀 오트&amp;우리쌀, 50g.jpg"},</v>
      </c>
      <c r="N38" t="str">
        <f t="shared" si="2"/>
        <v>"0109"</v>
      </c>
    </row>
    <row r="39" spans="2:14" ht="14.4" customHeight="1">
      <c r="B39" s="20">
        <v>34</v>
      </c>
      <c r="C39" s="14" t="s">
        <v>12</v>
      </c>
      <c r="D39" s="40" t="s">
        <v>146</v>
      </c>
      <c r="E39" s="14" t="s">
        <v>118</v>
      </c>
      <c r="F39" s="40" t="s">
        <v>158</v>
      </c>
      <c r="G39" s="30" t="s">
        <v>119</v>
      </c>
      <c r="H39" s="15">
        <v>1390</v>
      </c>
      <c r="I39" s="16">
        <v>10</v>
      </c>
      <c r="J39" s="17">
        <f t="shared" si="0"/>
        <v>13900</v>
      </c>
      <c r="K39" s="31" t="s">
        <v>120</v>
      </c>
      <c r="L39" s="19"/>
      <c r="M39" s="9" t="str">
        <f t="shared" si="1"/>
        <v>{"ITM_SEQ":"34","TYPE_CODE":"01","TYPE_DTL_CODE":"0109","ITM_NM":"퀘이커 마시는 오트밀 단백질, 80g","PRICE":"1390","UNIT":"10","":"13900","IMG":"퀘이커 마시는 오트밀 단백질, 80g.jpg"},</v>
      </c>
      <c r="N39" t="str">
        <f t="shared" si="2"/>
        <v>"0109"</v>
      </c>
    </row>
    <row r="40" spans="2:14" ht="14.4" customHeight="1">
      <c r="B40" s="13">
        <v>35</v>
      </c>
      <c r="C40" s="14" t="s">
        <v>12</v>
      </c>
      <c r="D40" s="40" t="s">
        <v>146</v>
      </c>
      <c r="E40" s="14" t="s">
        <v>118</v>
      </c>
      <c r="F40" s="40" t="s">
        <v>158</v>
      </c>
      <c r="G40" s="30" t="s">
        <v>125</v>
      </c>
      <c r="H40" s="15">
        <v>1080</v>
      </c>
      <c r="I40" s="16">
        <v>10</v>
      </c>
      <c r="J40" s="17">
        <f t="shared" si="0"/>
        <v>10800</v>
      </c>
      <c r="K40" s="31" t="s">
        <v>126</v>
      </c>
      <c r="L40" s="19"/>
      <c r="M40" s="9" t="str">
        <f t="shared" si="1"/>
        <v>{"ITM_SEQ":"35","TYPE_CODE":"01","TYPE_DTL_CODE":"0109","ITM_NM":"퀘이커 마시는 오트밀 찰옥수수, 50g","PRICE":"1080","UNIT":"10","":"10800","IMG":"퀘이커 마시는 오트밀 찰옥수수, 50g.jpg"},</v>
      </c>
      <c r="N40" t="str">
        <f t="shared" si="2"/>
        <v>"0109"</v>
      </c>
    </row>
    <row r="41" spans="2:14" ht="14.4" customHeight="1">
      <c r="B41" s="20">
        <v>36</v>
      </c>
      <c r="C41" s="14" t="s">
        <v>18</v>
      </c>
      <c r="D41" s="40" t="s">
        <v>147</v>
      </c>
      <c r="E41" s="14" t="s">
        <v>19</v>
      </c>
      <c r="F41" s="40" t="s">
        <v>159</v>
      </c>
      <c r="G41" s="14" t="s">
        <v>100</v>
      </c>
      <c r="H41" s="15">
        <v>480</v>
      </c>
      <c r="I41" s="16">
        <v>10</v>
      </c>
      <c r="J41" s="17">
        <f t="shared" si="0"/>
        <v>4800</v>
      </c>
      <c r="K41" s="27" t="s">
        <v>44</v>
      </c>
      <c r="L41" s="19"/>
      <c r="M41" s="9" t="str">
        <f t="shared" si="1"/>
        <v>{"ITM_SEQ":"36","TYPE_CODE":"02","TYPE_DTL_CODE":"0201","ITM_NM":"SNP 골드 콜라겐 앰플 마스크","PRICE":"480","UNIT":"10","":"4800","IMG":"SNP 골드 콜라겐 앰플 마스크.jpg"},</v>
      </c>
      <c r="N41" t="str">
        <f t="shared" si="2"/>
        <v>"0201"</v>
      </c>
    </row>
    <row r="42" spans="2:14" ht="14.4" customHeight="1">
      <c r="B42" s="13">
        <v>37</v>
      </c>
      <c r="C42" s="14" t="s">
        <v>18</v>
      </c>
      <c r="D42" s="40" t="s">
        <v>147</v>
      </c>
      <c r="E42" s="14" t="s">
        <v>19</v>
      </c>
      <c r="F42" s="40" t="s">
        <v>159</v>
      </c>
      <c r="G42" s="18" t="s">
        <v>101</v>
      </c>
      <c r="H42" s="15">
        <v>700</v>
      </c>
      <c r="I42" s="16">
        <v>10</v>
      </c>
      <c r="J42" s="17">
        <f t="shared" si="0"/>
        <v>7000</v>
      </c>
      <c r="K42" s="27" t="s">
        <v>45</v>
      </c>
      <c r="L42" s="19"/>
      <c r="M42" s="9" t="str">
        <f t="shared" si="1"/>
        <v>{"ITM_SEQ":"37","TYPE_CODE":"02","TYPE_DTL_CODE":"0201","ITM_NM":"메디힐 디엔에이 프로아틴 마스크","PRICE":"700","UNIT":"10","":"7000","IMG":"메디힐 디엔에이 프로아틴 마스크.jpg"},</v>
      </c>
      <c r="N42" t="str">
        <f t="shared" si="2"/>
        <v>"0201"</v>
      </c>
    </row>
    <row r="43" spans="2:14" ht="14.4" customHeight="1">
      <c r="B43" s="20">
        <v>38</v>
      </c>
      <c r="C43" s="14" t="s">
        <v>18</v>
      </c>
      <c r="D43" s="40" t="s">
        <v>147</v>
      </c>
      <c r="E43" s="14" t="s">
        <v>20</v>
      </c>
      <c r="F43" s="40" t="s">
        <v>160</v>
      </c>
      <c r="G43" s="18" t="s">
        <v>102</v>
      </c>
      <c r="H43" s="15">
        <v>4750</v>
      </c>
      <c r="I43" s="16">
        <v>1</v>
      </c>
      <c r="J43" s="17">
        <f t="shared" si="0"/>
        <v>4750</v>
      </c>
      <c r="K43" s="27" t="s">
        <v>46</v>
      </c>
      <c r="L43" s="19"/>
      <c r="M43" s="9" t="str">
        <f t="shared" si="1"/>
        <v>{"ITM_SEQ":"38","TYPE_CODE":"02","TYPE_DTL_CODE":"0202","ITM_NM":"닥터지 메디유브이 울트라 선 50ml","PRICE":"4750","UNIT":"1","":"4750","IMG":"닥터지 메디유브이 울트라 선 50ml.jpg"},</v>
      </c>
      <c r="N43" t="str">
        <f t="shared" si="2"/>
        <v>"0202"</v>
      </c>
    </row>
    <row r="44" spans="2:14" ht="14.4" customHeight="1">
      <c r="B44" s="13">
        <v>39</v>
      </c>
      <c r="C44" s="14" t="s">
        <v>18</v>
      </c>
      <c r="D44" s="40" t="s">
        <v>147</v>
      </c>
      <c r="E44" s="14" t="s">
        <v>20</v>
      </c>
      <c r="F44" s="40" t="s">
        <v>160</v>
      </c>
      <c r="G44" s="14" t="s">
        <v>103</v>
      </c>
      <c r="H44" s="15">
        <v>8800</v>
      </c>
      <c r="I44" s="16">
        <v>1</v>
      </c>
      <c r="J44" s="17">
        <f t="shared" si="0"/>
        <v>8800</v>
      </c>
      <c r="K44" s="27" t="s">
        <v>47</v>
      </c>
      <c r="L44" s="19"/>
      <c r="M44" s="9" t="str">
        <f t="shared" si="1"/>
        <v>{"ITM_SEQ":"39","TYPE_CODE":"02","TYPE_DTL_CODE":"0202","ITM_NM":"AHC 내추럴 퍼펙션 프레쉬선스틱","PRICE":"8800","UNIT":"1","":"8800","IMG":"AHC 내추럴 퍼펙션 프레쉬선스틱.jpg"},</v>
      </c>
      <c r="N44" t="str">
        <f t="shared" si="2"/>
        <v>"0202"</v>
      </c>
    </row>
    <row r="45" spans="2:14" ht="14.4" customHeight="1">
      <c r="B45" s="20">
        <v>40</v>
      </c>
      <c r="C45" s="14" t="s">
        <v>18</v>
      </c>
      <c r="D45" s="40" t="s">
        <v>147</v>
      </c>
      <c r="E45" s="14" t="s">
        <v>21</v>
      </c>
      <c r="F45" s="40" t="s">
        <v>161</v>
      </c>
      <c r="G45" s="14" t="s">
        <v>104</v>
      </c>
      <c r="H45" s="15">
        <v>5560</v>
      </c>
      <c r="I45" s="16">
        <v>1</v>
      </c>
      <c r="J45" s="17">
        <f t="shared" si="0"/>
        <v>5560</v>
      </c>
      <c r="K45" s="27" t="s">
        <v>48</v>
      </c>
      <c r="L45" s="19"/>
      <c r="M45" s="9" t="str">
        <f t="shared" si="1"/>
        <v>{"ITM_SEQ":"40","TYPE_CODE":"02","TYPE_DTL_CODE":"0203","ITM_NM":"AHC프라이빗 리얼아이크림기프트세트","PRICE":"5560","UNIT":"1","":"5560","IMG":"AHC프라이빗 리얼아이크림기프트세트.jpg"},</v>
      </c>
      <c r="N45" t="str">
        <f t="shared" si="2"/>
        <v>"0203"</v>
      </c>
    </row>
    <row r="46" spans="2:14" ht="14.4" customHeight="1">
      <c r="B46" s="13">
        <v>41</v>
      </c>
      <c r="C46" s="14" t="s">
        <v>18</v>
      </c>
      <c r="D46" s="40" t="s">
        <v>147</v>
      </c>
      <c r="E46" s="14" t="s">
        <v>22</v>
      </c>
      <c r="F46" s="40" t="s">
        <v>162</v>
      </c>
      <c r="G46" s="18" t="s">
        <v>105</v>
      </c>
      <c r="H46" s="15">
        <v>4710</v>
      </c>
      <c r="I46" s="16">
        <v>1</v>
      </c>
      <c r="J46" s="17">
        <f t="shared" si="0"/>
        <v>4710</v>
      </c>
      <c r="K46" s="27" t="s">
        <v>49</v>
      </c>
      <c r="L46" s="19"/>
      <c r="M46" s="9" t="str">
        <f t="shared" si="1"/>
        <v>{"ITM_SEQ":"41","TYPE_CODE":"02","TYPE_DTL_CODE":"0204","ITM_NM":"마녀공장 비피다 바이옴 수분 장벽 강화 크림 기획세트","PRICE":"4710","UNIT":"1","":"4710","IMG":"마녀공장 비피다 바이옴 수분 장벽 강화 크림 기획세트.jpg"},</v>
      </c>
      <c r="N46" t="str">
        <f t="shared" si="2"/>
        <v>"0204"</v>
      </c>
    </row>
    <row r="47" spans="2:14" ht="14.4" customHeight="1">
      <c r="B47" s="20">
        <v>42</v>
      </c>
      <c r="C47" s="14" t="s">
        <v>18</v>
      </c>
      <c r="D47" s="40" t="s">
        <v>147</v>
      </c>
      <c r="E47" s="14" t="s">
        <v>22</v>
      </c>
      <c r="F47" s="40" t="s">
        <v>162</v>
      </c>
      <c r="G47" s="18" t="s">
        <v>106</v>
      </c>
      <c r="H47" s="15">
        <v>7900</v>
      </c>
      <c r="I47" s="16">
        <v>1</v>
      </c>
      <c r="J47" s="17">
        <f t="shared" si="0"/>
        <v>7900</v>
      </c>
      <c r="K47" s="27" t="s">
        <v>50</v>
      </c>
      <c r="L47" s="19"/>
      <c r="M47" s="9" t="str">
        <f t="shared" si="1"/>
        <v>{"ITM_SEQ":"42","TYPE_CODE":"02","TYPE_DTL_CODE":"0204","ITM_NM":"이니스프리 퍼펙트9인텐시브 크림","PRICE":"7900","UNIT":"1","":"7900","IMG":"이니스프리 퍼펙트9인텐시브 크림.jpg"},</v>
      </c>
      <c r="N47" t="str">
        <f t="shared" si="2"/>
        <v>"0204"</v>
      </c>
    </row>
    <row r="48" spans="2:14" ht="14.4" customHeight="1">
      <c r="B48" s="13">
        <v>43</v>
      </c>
      <c r="C48" s="14" t="s">
        <v>18</v>
      </c>
      <c r="D48" s="40" t="s">
        <v>147</v>
      </c>
      <c r="E48" s="14" t="s">
        <v>22</v>
      </c>
      <c r="F48" s="40" t="s">
        <v>162</v>
      </c>
      <c r="G48" s="18" t="s">
        <v>107</v>
      </c>
      <c r="H48" s="15">
        <v>10080</v>
      </c>
      <c r="I48" s="16">
        <v>1</v>
      </c>
      <c r="J48" s="17">
        <f t="shared" si="0"/>
        <v>10080</v>
      </c>
      <c r="K48" s="27" t="s">
        <v>51</v>
      </c>
      <c r="L48" s="19"/>
      <c r="M48" s="9" t="str">
        <f t="shared" si="1"/>
        <v>{"ITM_SEQ":"43","TYPE_CODE":"02","TYPE_DTL_CODE":"0204","ITM_NM":"닥터지 로얄 블랙스네일 크림","PRICE":"10080","UNIT":"1","":"10080","IMG":"닥터지 로얄 블랙스네일 크림.jpg"},</v>
      </c>
      <c r="N48" t="str">
        <f t="shared" si="2"/>
        <v>"0204"</v>
      </c>
    </row>
    <row r="49" spans="2:14" ht="14.4" customHeight="1">
      <c r="B49" s="20">
        <v>44</v>
      </c>
      <c r="C49" s="14" t="s">
        <v>18</v>
      </c>
      <c r="D49" s="40" t="s">
        <v>147</v>
      </c>
      <c r="E49" s="14" t="s">
        <v>22</v>
      </c>
      <c r="F49" s="40" t="s">
        <v>162</v>
      </c>
      <c r="G49" s="18" t="s">
        <v>108</v>
      </c>
      <c r="H49" s="15">
        <v>14090</v>
      </c>
      <c r="I49" s="16">
        <v>1</v>
      </c>
      <c r="J49" s="17">
        <f t="shared" si="0"/>
        <v>14090</v>
      </c>
      <c r="K49" s="27" t="s">
        <v>52</v>
      </c>
      <c r="L49" s="19"/>
      <c r="M49" s="9" t="str">
        <f t="shared" si="1"/>
        <v>{"ITM_SEQ":"44","TYPE_CODE":"02","TYPE_DTL_CODE":"0204","ITM_NM":"아이소이 탄력크림EX","PRICE":"14090","UNIT":"1","":"14090","IMG":"아이소이 탄력크림EX.jpg"},</v>
      </c>
      <c r="N49" t="str">
        <f t="shared" si="2"/>
        <v>"0204"</v>
      </c>
    </row>
    <row r="50" spans="2:14" ht="14.4" customHeight="1">
      <c r="B50" s="13">
        <v>45</v>
      </c>
      <c r="C50" s="14" t="s">
        <v>18</v>
      </c>
      <c r="D50" s="40" t="s">
        <v>147</v>
      </c>
      <c r="E50" s="14" t="s">
        <v>22</v>
      </c>
      <c r="F50" s="40" t="s">
        <v>162</v>
      </c>
      <c r="G50" s="18" t="s">
        <v>109</v>
      </c>
      <c r="H50" s="15">
        <v>38930</v>
      </c>
      <c r="I50" s="16">
        <v>1</v>
      </c>
      <c r="J50" s="17">
        <f t="shared" si="0"/>
        <v>38930</v>
      </c>
      <c r="K50" s="27" t="s">
        <v>53</v>
      </c>
      <c r="L50" s="19" t="s">
        <v>23</v>
      </c>
      <c r="M50" s="9" t="str">
        <f t="shared" si="1"/>
        <v>{"ITM_SEQ":"45","TYPE_CODE":"02","TYPE_DTL_CODE":"0204","ITM_NM":"다이아몬드 리페어 퍼펙트 세트","PRICE":"38930","UNIT":"1","":"38930","IMG":"다이아몬드 리페어 퍼펙트 세트.jpg"},</v>
      </c>
      <c r="N50" t="str">
        <f t="shared" si="2"/>
        <v>"0204"</v>
      </c>
    </row>
    <row r="51" spans="2:14" ht="14.4" customHeight="1">
      <c r="B51" s="20">
        <v>46</v>
      </c>
      <c r="C51" s="14" t="s">
        <v>18</v>
      </c>
      <c r="D51" s="40" t="s">
        <v>147</v>
      </c>
      <c r="E51" s="14" t="s">
        <v>24</v>
      </c>
      <c r="F51" s="40" t="s">
        <v>163</v>
      </c>
      <c r="G51" s="18" t="s">
        <v>110</v>
      </c>
      <c r="H51" s="15">
        <v>4320</v>
      </c>
      <c r="I51" s="16">
        <v>1</v>
      </c>
      <c r="J51" s="17">
        <f t="shared" si="0"/>
        <v>4320</v>
      </c>
      <c r="K51" s="27" t="s">
        <v>54</v>
      </c>
      <c r="L51" s="19"/>
      <c r="M51" s="9" t="str">
        <f t="shared" si="1"/>
        <v>{"ITM_SEQ":"46","TYPE_CODE":"02","TYPE_DTL_CODE":"0205","ITM_NM":"닥터지 레드 블레미쉬 모이스처 클렌징 폼","PRICE":"4320","UNIT":"1","":"4320","IMG":"닥터지 레드 블레미쉬 모이스처 클렌징 폼.jpg"},</v>
      </c>
      <c r="N51" t="str">
        <f t="shared" si="2"/>
        <v>"0205"</v>
      </c>
    </row>
    <row r="52" spans="2:14" ht="14.4" customHeight="1">
      <c r="B52" s="13">
        <v>47</v>
      </c>
      <c r="C52" s="14" t="s">
        <v>18</v>
      </c>
      <c r="D52" s="40" t="s">
        <v>147</v>
      </c>
      <c r="E52" s="14" t="s">
        <v>24</v>
      </c>
      <c r="F52" s="40" t="s">
        <v>163</v>
      </c>
      <c r="G52" s="18" t="s">
        <v>111</v>
      </c>
      <c r="H52" s="15">
        <v>4390</v>
      </c>
      <c r="I52" s="16">
        <v>1</v>
      </c>
      <c r="J52" s="17">
        <f t="shared" si="0"/>
        <v>4390</v>
      </c>
      <c r="K52" s="27" t="s">
        <v>55</v>
      </c>
      <c r="L52" s="19"/>
      <c r="M52" s="9" t="str">
        <f t="shared" si="1"/>
        <v>{"ITM_SEQ":"47","TYPE_CODE":"02","TYPE_DTL_CODE":"0205","ITM_NM":"뉴트로지나 딥클린 아크네 포밍","PRICE":"4390","UNIT":"1","":"4390","IMG":"뉴트로지나 딥클린 아크네 포밍.jpg"},</v>
      </c>
      <c r="N52" t="str">
        <f t="shared" si="2"/>
        <v>"0205"</v>
      </c>
    </row>
    <row r="53" spans="2:14" ht="14.4" customHeight="1">
      <c r="B53" s="9"/>
      <c r="C53" s="9"/>
      <c r="D53" s="37"/>
      <c r="E53" s="9"/>
      <c r="F53" s="37"/>
      <c r="G53" s="9"/>
      <c r="H53" s="9"/>
      <c r="I53" s="9"/>
      <c r="J53" s="9"/>
      <c r="K53" s="28"/>
      <c r="L53" s="9"/>
      <c r="M53" s="9" t="s">
        <v>112</v>
      </c>
    </row>
    <row r="54" spans="2:14" ht="14.4" customHeight="1">
      <c r="B54" s="9"/>
      <c r="C54" s="9"/>
      <c r="D54" s="37"/>
      <c r="E54" s="9"/>
      <c r="F54" s="37"/>
      <c r="G54" s="9"/>
      <c r="H54" s="9"/>
      <c r="I54" s="9"/>
      <c r="J54" s="9"/>
      <c r="K54" s="28"/>
      <c r="L54" s="9"/>
      <c r="M54" s="9"/>
    </row>
    <row r="55" spans="2:14" ht="14.4" customHeight="1">
      <c r="B55" s="9"/>
      <c r="C55" s="9"/>
      <c r="D55" s="37"/>
      <c r="E55" s="9"/>
      <c r="F55" s="37"/>
      <c r="G55" s="9"/>
      <c r="H55" s="9"/>
      <c r="I55" s="9"/>
      <c r="J55" s="9"/>
      <c r="K55" s="28"/>
      <c r="L55" s="9"/>
      <c r="M55" s="9"/>
    </row>
    <row r="56" spans="2:14" ht="14.4" customHeight="1">
      <c r="B56" s="9"/>
      <c r="C56" s="1" t="s">
        <v>25</v>
      </c>
      <c r="D56" s="38" t="s">
        <v>25</v>
      </c>
      <c r="E56" s="4"/>
      <c r="F56" s="41"/>
      <c r="G56" s="4" t="s">
        <v>26</v>
      </c>
      <c r="H56" s="21">
        <v>1000</v>
      </c>
      <c r="I56" s="22">
        <v>24</v>
      </c>
      <c r="J56" s="4"/>
      <c r="K56" s="29"/>
      <c r="L56" s="23"/>
      <c r="M56" s="9"/>
    </row>
    <row r="57" spans="2:14" ht="14.4" customHeight="1">
      <c r="B57" s="9"/>
      <c r="C57" s="24" t="s">
        <v>27</v>
      </c>
      <c r="D57" s="39" t="s">
        <v>27</v>
      </c>
      <c r="E57" s="14"/>
      <c r="F57" s="36"/>
      <c r="G57" s="14" t="s">
        <v>28</v>
      </c>
      <c r="H57" s="15">
        <v>9240</v>
      </c>
      <c r="I57" s="16">
        <v>1</v>
      </c>
      <c r="J57" s="14"/>
      <c r="K57" s="27"/>
      <c r="L57" s="19"/>
      <c r="M57" s="9"/>
    </row>
    <row r="58" spans="2:14" ht="14.4" customHeight="1">
      <c r="B58" s="9"/>
      <c r="C58" s="24"/>
      <c r="D58" s="39"/>
      <c r="E58" s="14"/>
      <c r="F58" s="36"/>
      <c r="G58" s="14"/>
      <c r="H58" s="19"/>
      <c r="I58" s="19"/>
      <c r="J58" s="14"/>
      <c r="K58" s="27"/>
      <c r="L58" s="19"/>
      <c r="M58" s="9"/>
    </row>
    <row r="59" spans="2:14" ht="14.4" customHeight="1">
      <c r="B59" s="9"/>
      <c r="C59" s="24"/>
      <c r="D59" s="39"/>
      <c r="E59" s="14"/>
      <c r="F59" s="36"/>
      <c r="G59" s="14"/>
      <c r="H59" s="19"/>
      <c r="I59" s="19"/>
      <c r="J59" s="14"/>
      <c r="K59" s="27"/>
      <c r="L59" s="19"/>
      <c r="M59" s="9"/>
    </row>
    <row r="60" spans="2:14" ht="14.4" customHeight="1">
      <c r="B60" s="9"/>
      <c r="C60" s="24"/>
      <c r="D60" s="39"/>
      <c r="E60" s="14"/>
      <c r="F60" s="36"/>
      <c r="G60" s="14"/>
      <c r="H60" s="19"/>
      <c r="I60" s="19"/>
      <c r="J60" s="14"/>
      <c r="K60" s="27"/>
      <c r="L60" s="19"/>
      <c r="M60" s="9"/>
    </row>
    <row r="61" spans="2:14" ht="14.4" customHeight="1">
      <c r="B61" s="9"/>
      <c r="C61" s="24"/>
      <c r="D61" s="39"/>
      <c r="E61" s="14"/>
      <c r="F61" s="36"/>
      <c r="G61" s="14"/>
      <c r="H61" s="19"/>
      <c r="I61" s="19"/>
      <c r="J61" s="14"/>
      <c r="K61" s="27"/>
      <c r="L61" s="19"/>
      <c r="M61" s="9"/>
    </row>
    <row r="62" spans="2:14" ht="14.4" customHeight="1">
      <c r="B62" s="9"/>
      <c r="C62" s="24"/>
      <c r="D62" s="39"/>
      <c r="E62" s="14"/>
      <c r="F62" s="36"/>
      <c r="G62" s="14"/>
      <c r="H62" s="19"/>
      <c r="I62" s="19"/>
      <c r="J62" s="14"/>
      <c r="K62" s="27"/>
      <c r="L62" s="19"/>
      <c r="M62" s="9"/>
    </row>
    <row r="63" spans="2:14" ht="14.4" customHeight="1">
      <c r="B63" s="9"/>
      <c r="C63" s="24"/>
      <c r="D63" s="39"/>
      <c r="E63" s="14"/>
      <c r="F63" s="36"/>
      <c r="G63" s="14"/>
      <c r="H63" s="19"/>
      <c r="I63" s="19"/>
      <c r="J63" s="14"/>
      <c r="K63" s="27"/>
      <c r="L63" s="19"/>
      <c r="M63" s="9"/>
    </row>
    <row r="64" spans="2:14" ht="14.4" customHeight="1">
      <c r="I64" s="3"/>
    </row>
    <row r="65" spans="9:9" ht="14.4" customHeight="1">
      <c r="I65" s="3"/>
    </row>
    <row r="66" spans="9:9" ht="14.4" customHeight="1">
      <c r="I66" s="3"/>
    </row>
    <row r="67" spans="9:9" ht="14.4" customHeight="1">
      <c r="I67" s="3"/>
    </row>
    <row r="68" spans="9:9" ht="14.4" customHeight="1">
      <c r="I68" s="3"/>
    </row>
    <row r="69" spans="9:9" ht="14.4" customHeight="1">
      <c r="I69" s="3"/>
    </row>
    <row r="70" spans="9:9" ht="14.4" customHeight="1">
      <c r="I70" s="3"/>
    </row>
    <row r="71" spans="9:9" ht="14.4" customHeight="1">
      <c r="I71" s="3"/>
    </row>
    <row r="72" spans="9:9" ht="14.4" customHeight="1">
      <c r="I72" s="3"/>
    </row>
    <row r="73" spans="9:9" ht="14.4" customHeight="1">
      <c r="I73" s="3"/>
    </row>
    <row r="74" spans="9:9" ht="14.4" customHeight="1">
      <c r="I74" s="3"/>
    </row>
    <row r="75" spans="9:9" ht="14.4" customHeight="1">
      <c r="I75" s="3"/>
    </row>
    <row r="76" spans="9:9" ht="14.4" customHeight="1">
      <c r="I76" s="3"/>
    </row>
    <row r="77" spans="9:9" ht="14.4" customHeight="1">
      <c r="I77" s="3"/>
    </row>
    <row r="78" spans="9:9" ht="14.4" customHeight="1">
      <c r="I78" s="3"/>
    </row>
    <row r="79" spans="9:9" ht="14.4" customHeight="1">
      <c r="I79" s="3"/>
    </row>
    <row r="80" spans="9:9" ht="14.4" customHeight="1">
      <c r="I80" s="3"/>
    </row>
    <row r="81" spans="9:9" ht="14.4" customHeight="1">
      <c r="I81" s="3"/>
    </row>
    <row r="82" spans="9:9" ht="14.4" customHeight="1">
      <c r="I82" s="3"/>
    </row>
    <row r="83" spans="9:9" ht="14.4" customHeight="1">
      <c r="I83" s="3"/>
    </row>
    <row r="84" spans="9:9" ht="14.4" customHeight="1">
      <c r="I84" s="3"/>
    </row>
    <row r="85" spans="9:9" ht="14.4" customHeight="1">
      <c r="I85" s="3"/>
    </row>
    <row r="86" spans="9:9" ht="14.4" customHeight="1">
      <c r="I86" s="3"/>
    </row>
    <row r="87" spans="9:9" ht="14.4" customHeight="1">
      <c r="I87" s="3"/>
    </row>
    <row r="88" spans="9:9" ht="14.4" customHeight="1">
      <c r="I88" s="3"/>
    </row>
    <row r="89" spans="9:9" ht="14.4" customHeight="1">
      <c r="I89" s="3"/>
    </row>
    <row r="90" spans="9:9" ht="14.4" customHeight="1">
      <c r="I90" s="3"/>
    </row>
    <row r="91" spans="9:9" ht="14.4" customHeight="1">
      <c r="I91" s="3"/>
    </row>
    <row r="92" spans="9:9" ht="14.4" customHeight="1">
      <c r="I92" s="3"/>
    </row>
    <row r="93" spans="9:9" ht="14.4" customHeight="1">
      <c r="I93" s="3"/>
    </row>
    <row r="94" spans="9:9" ht="14.4" customHeight="1">
      <c r="I94" s="3"/>
    </row>
    <row r="95" spans="9:9" ht="14.4" customHeight="1">
      <c r="I95" s="3"/>
    </row>
    <row r="96" spans="9:9" ht="14.4" customHeight="1">
      <c r="I96" s="3"/>
    </row>
    <row r="97" spans="9:9" ht="14.4" customHeight="1">
      <c r="I97" s="3"/>
    </row>
    <row r="98" spans="9:9" ht="14.4" customHeight="1">
      <c r="I98" s="3"/>
    </row>
    <row r="99" spans="9:9" ht="14.4" customHeight="1">
      <c r="I99" s="3"/>
    </row>
    <row r="100" spans="9:9" ht="14.4" customHeight="1">
      <c r="I100" s="3"/>
    </row>
    <row r="101" spans="9:9" ht="14.4" customHeight="1">
      <c r="I101" s="3"/>
    </row>
    <row r="102" spans="9:9" ht="14.4" customHeight="1">
      <c r="I102" s="3"/>
    </row>
    <row r="103" spans="9:9" ht="14.4" customHeight="1">
      <c r="I103" s="3"/>
    </row>
    <row r="104" spans="9:9" ht="14.4" customHeight="1">
      <c r="I104" s="3"/>
    </row>
    <row r="105" spans="9:9" ht="14.4" customHeight="1">
      <c r="I105" s="3"/>
    </row>
    <row r="106" spans="9:9" ht="14.4" customHeight="1">
      <c r="I106" s="3"/>
    </row>
    <row r="107" spans="9:9" ht="14.4" customHeight="1">
      <c r="I107" s="3"/>
    </row>
    <row r="108" spans="9:9" ht="14.4" customHeight="1">
      <c r="I108" s="3"/>
    </row>
    <row r="109" spans="9:9" ht="14.4" customHeight="1">
      <c r="I109" s="3"/>
    </row>
    <row r="110" spans="9:9" ht="14.4" customHeight="1">
      <c r="I110" s="3"/>
    </row>
    <row r="111" spans="9:9" ht="14.4" customHeight="1">
      <c r="I111" s="3"/>
    </row>
    <row r="112" spans="9:9" ht="14.4" customHeight="1">
      <c r="I112" s="3"/>
    </row>
    <row r="113" spans="9:9" ht="14.4" customHeight="1">
      <c r="I113" s="3"/>
    </row>
    <row r="114" spans="9:9" ht="14.4" customHeight="1">
      <c r="I114" s="3"/>
    </row>
    <row r="115" spans="9:9" ht="14.4" customHeight="1">
      <c r="I115" s="3"/>
    </row>
    <row r="116" spans="9:9" ht="14.4" customHeight="1">
      <c r="I116" s="3"/>
    </row>
    <row r="117" spans="9:9" ht="14.4" customHeight="1">
      <c r="I117" s="3"/>
    </row>
    <row r="118" spans="9:9" ht="14.4" customHeight="1">
      <c r="I118" s="3"/>
    </row>
    <row r="119" spans="9:9" ht="14.4" customHeight="1">
      <c r="I119" s="3"/>
    </row>
    <row r="120" spans="9:9" ht="14.4" customHeight="1">
      <c r="I120" s="3"/>
    </row>
    <row r="121" spans="9:9" ht="14.4" customHeight="1">
      <c r="I121" s="3"/>
    </row>
    <row r="122" spans="9:9" ht="14.4" customHeight="1">
      <c r="I122" s="3"/>
    </row>
    <row r="123" spans="9:9" ht="14.4" customHeight="1">
      <c r="I123" s="3"/>
    </row>
    <row r="124" spans="9:9" ht="14.4" customHeight="1">
      <c r="I124" s="3"/>
    </row>
    <row r="125" spans="9:9" ht="14.4" customHeight="1">
      <c r="I125" s="3"/>
    </row>
    <row r="126" spans="9:9" ht="14.4" customHeight="1">
      <c r="I126" s="3"/>
    </row>
    <row r="127" spans="9:9" ht="14.4" customHeight="1">
      <c r="I127" s="3"/>
    </row>
    <row r="128" spans="9:9" ht="14.4" customHeight="1">
      <c r="I128" s="3"/>
    </row>
    <row r="129" spans="9:9" ht="14.4" customHeight="1">
      <c r="I129" s="3"/>
    </row>
    <row r="130" spans="9:9" ht="14.4" customHeight="1">
      <c r="I130" s="3"/>
    </row>
    <row r="131" spans="9:9" ht="14.4" customHeight="1">
      <c r="I131" s="3"/>
    </row>
    <row r="132" spans="9:9" ht="14.4" customHeight="1">
      <c r="I132" s="3"/>
    </row>
    <row r="133" spans="9:9" ht="14.4" customHeight="1">
      <c r="I133" s="3"/>
    </row>
    <row r="134" spans="9:9" ht="14.4" customHeight="1">
      <c r="I134" s="3"/>
    </row>
    <row r="135" spans="9:9" ht="14.4" customHeight="1">
      <c r="I135" s="3"/>
    </row>
    <row r="136" spans="9:9" ht="14.4" customHeight="1">
      <c r="I136" s="3"/>
    </row>
    <row r="137" spans="9:9" ht="14.4" customHeight="1">
      <c r="I137" s="3"/>
    </row>
    <row r="138" spans="9:9" ht="14.4" customHeight="1">
      <c r="I138" s="3"/>
    </row>
    <row r="139" spans="9:9" ht="14.4" customHeight="1">
      <c r="I139" s="3"/>
    </row>
    <row r="140" spans="9:9" ht="14.4" customHeight="1">
      <c r="I140" s="3"/>
    </row>
    <row r="141" spans="9:9" ht="14.4" customHeight="1">
      <c r="I141" s="3"/>
    </row>
    <row r="142" spans="9:9" ht="14.4" customHeight="1">
      <c r="I142" s="3"/>
    </row>
    <row r="143" spans="9:9" ht="14.4" customHeight="1">
      <c r="I143" s="3"/>
    </row>
    <row r="144" spans="9:9" ht="14.4" customHeight="1">
      <c r="I144" s="3"/>
    </row>
    <row r="145" spans="9:9" ht="14.4" customHeight="1">
      <c r="I145" s="3"/>
    </row>
    <row r="146" spans="9:9" ht="14.4" customHeight="1">
      <c r="I146" s="3"/>
    </row>
    <row r="147" spans="9:9" ht="14.4" customHeight="1">
      <c r="I147" s="3"/>
    </row>
    <row r="148" spans="9:9" ht="14.4" customHeight="1">
      <c r="I148" s="3"/>
    </row>
    <row r="149" spans="9:9" ht="14.4" customHeight="1">
      <c r="I149" s="3"/>
    </row>
    <row r="150" spans="9:9" ht="14.4" customHeight="1">
      <c r="I150" s="3"/>
    </row>
    <row r="151" spans="9:9" ht="14.4" customHeight="1">
      <c r="I151" s="3"/>
    </row>
    <row r="152" spans="9:9" ht="14.4" customHeight="1">
      <c r="I152" s="3"/>
    </row>
    <row r="153" spans="9:9" ht="14.4" customHeight="1">
      <c r="I153" s="3"/>
    </row>
    <row r="154" spans="9:9" ht="14.4" customHeight="1">
      <c r="I154" s="3"/>
    </row>
    <row r="155" spans="9:9" ht="14.4" customHeight="1">
      <c r="I155" s="3"/>
    </row>
    <row r="156" spans="9:9" ht="14.4" customHeight="1">
      <c r="I156" s="3"/>
    </row>
    <row r="157" spans="9:9" ht="14.4" customHeight="1">
      <c r="I157" s="3"/>
    </row>
    <row r="158" spans="9:9" ht="14.4" customHeight="1">
      <c r="I158" s="3"/>
    </row>
    <row r="159" spans="9:9" ht="14.4" customHeight="1">
      <c r="I159" s="3"/>
    </row>
    <row r="160" spans="9:9" ht="14.4" customHeight="1">
      <c r="I160" s="3"/>
    </row>
    <row r="161" spans="9:9" ht="14.4" customHeight="1">
      <c r="I161" s="3"/>
    </row>
    <row r="162" spans="9:9" ht="14.4" customHeight="1">
      <c r="I162" s="3"/>
    </row>
    <row r="163" spans="9:9" ht="14.4" customHeight="1">
      <c r="I163" s="3"/>
    </row>
    <row r="164" spans="9:9" ht="14.4" customHeight="1">
      <c r="I164" s="3"/>
    </row>
    <row r="165" spans="9:9" ht="14.4" customHeight="1">
      <c r="I165" s="3"/>
    </row>
    <row r="166" spans="9:9" ht="14.4" customHeight="1">
      <c r="I166" s="3"/>
    </row>
    <row r="167" spans="9:9" ht="14.4" customHeight="1">
      <c r="I167" s="3"/>
    </row>
    <row r="168" spans="9:9" ht="14.4" customHeight="1">
      <c r="I168" s="3"/>
    </row>
    <row r="169" spans="9:9" ht="14.4" customHeight="1">
      <c r="I169" s="3"/>
    </row>
    <row r="170" spans="9:9" ht="14.4" customHeight="1">
      <c r="I170" s="3"/>
    </row>
    <row r="171" spans="9:9" ht="14.4" customHeight="1">
      <c r="I171" s="3"/>
    </row>
    <row r="172" spans="9:9" ht="14.4" customHeight="1">
      <c r="I172" s="3"/>
    </row>
    <row r="173" spans="9:9" ht="14.4" customHeight="1">
      <c r="I173" s="3"/>
    </row>
    <row r="174" spans="9:9" ht="14.4" customHeight="1">
      <c r="I174" s="3"/>
    </row>
    <row r="175" spans="9:9" ht="14.4" customHeight="1">
      <c r="I175" s="3"/>
    </row>
    <row r="176" spans="9:9" ht="14.4" customHeight="1">
      <c r="I176" s="3"/>
    </row>
    <row r="177" spans="9:9" ht="14.4" customHeight="1">
      <c r="I177" s="3"/>
    </row>
    <row r="178" spans="9:9" ht="14.4" customHeight="1">
      <c r="I178" s="3"/>
    </row>
    <row r="179" spans="9:9" ht="14.4" customHeight="1">
      <c r="I179" s="3"/>
    </row>
    <row r="180" spans="9:9" ht="14.4" customHeight="1">
      <c r="I180" s="3"/>
    </row>
    <row r="181" spans="9:9" ht="14.4" customHeight="1">
      <c r="I181" s="3"/>
    </row>
    <row r="182" spans="9:9" ht="14.4" customHeight="1">
      <c r="I182" s="3"/>
    </row>
    <row r="183" spans="9:9" ht="14.4" customHeight="1">
      <c r="I183" s="3"/>
    </row>
    <row r="184" spans="9:9" ht="14.4" customHeight="1">
      <c r="I184" s="3"/>
    </row>
    <row r="185" spans="9:9" ht="14.4" customHeight="1">
      <c r="I185" s="3"/>
    </row>
    <row r="186" spans="9:9" ht="14.4" customHeight="1">
      <c r="I186" s="3"/>
    </row>
    <row r="187" spans="9:9" ht="14.4" customHeight="1">
      <c r="I187" s="3"/>
    </row>
    <row r="188" spans="9:9" ht="14.4" customHeight="1">
      <c r="I188" s="3"/>
    </row>
    <row r="189" spans="9:9" ht="14.4" customHeight="1">
      <c r="I189" s="3"/>
    </row>
    <row r="190" spans="9:9" ht="14.4" customHeight="1">
      <c r="I190" s="3"/>
    </row>
    <row r="191" spans="9:9" ht="14.4" customHeight="1">
      <c r="I191" s="3"/>
    </row>
    <row r="192" spans="9:9" ht="14.4" customHeight="1">
      <c r="I192" s="3"/>
    </row>
    <row r="193" spans="9:9" ht="14.4" customHeight="1">
      <c r="I193" s="3"/>
    </row>
    <row r="194" spans="9:9" ht="14.4" customHeight="1">
      <c r="I194" s="3"/>
    </row>
    <row r="195" spans="9:9" ht="14.4" customHeight="1">
      <c r="I195" s="3"/>
    </row>
    <row r="196" spans="9:9" ht="14.4" customHeight="1">
      <c r="I196" s="3"/>
    </row>
    <row r="197" spans="9:9" ht="14.4" customHeight="1">
      <c r="I197" s="3"/>
    </row>
    <row r="198" spans="9:9" ht="14.4" customHeight="1">
      <c r="I198" s="3"/>
    </row>
    <row r="199" spans="9:9" ht="14.4" customHeight="1">
      <c r="I199" s="3"/>
    </row>
    <row r="200" spans="9:9" ht="14.4" customHeight="1">
      <c r="I200" s="3"/>
    </row>
    <row r="201" spans="9:9" ht="14.4" customHeight="1">
      <c r="I201" s="3"/>
    </row>
    <row r="202" spans="9:9" ht="14.4" customHeight="1">
      <c r="I202" s="3"/>
    </row>
    <row r="203" spans="9:9" ht="14.4" customHeight="1">
      <c r="I203" s="3"/>
    </row>
    <row r="204" spans="9:9" ht="14.4" customHeight="1">
      <c r="I204" s="3"/>
    </row>
    <row r="205" spans="9:9" ht="14.4" customHeight="1">
      <c r="I205" s="3"/>
    </row>
    <row r="206" spans="9:9" ht="14.4" customHeight="1">
      <c r="I206" s="3"/>
    </row>
    <row r="207" spans="9:9" ht="14.4" customHeight="1">
      <c r="I207" s="3"/>
    </row>
    <row r="208" spans="9:9" ht="14.4" customHeight="1">
      <c r="I208" s="3"/>
    </row>
    <row r="209" spans="9:9" ht="14.4" customHeight="1">
      <c r="I209" s="3"/>
    </row>
    <row r="210" spans="9:9" ht="14.4" customHeight="1">
      <c r="I210" s="3"/>
    </row>
    <row r="211" spans="9:9" ht="14.4" customHeight="1">
      <c r="I211" s="3"/>
    </row>
    <row r="212" spans="9:9" ht="14.4" customHeight="1">
      <c r="I212" s="3"/>
    </row>
    <row r="213" spans="9:9" ht="14.4" customHeight="1">
      <c r="I213" s="3"/>
    </row>
    <row r="214" spans="9:9" ht="14.4" customHeight="1">
      <c r="I214" s="3"/>
    </row>
    <row r="215" spans="9:9" ht="14.4" customHeight="1">
      <c r="I215" s="3"/>
    </row>
    <row r="216" spans="9:9" ht="14.4" customHeight="1">
      <c r="I216" s="3"/>
    </row>
    <row r="217" spans="9:9" ht="14.4" customHeight="1">
      <c r="I217" s="3"/>
    </row>
    <row r="218" spans="9:9" ht="14.4" customHeight="1">
      <c r="I218" s="3"/>
    </row>
    <row r="219" spans="9:9" ht="14.4" customHeight="1">
      <c r="I219" s="3"/>
    </row>
    <row r="220" spans="9:9" ht="14.4" customHeight="1">
      <c r="I220" s="3"/>
    </row>
    <row r="221" spans="9:9" ht="14.4" customHeight="1">
      <c r="I221" s="3"/>
    </row>
    <row r="222" spans="9:9" ht="14.4" customHeight="1">
      <c r="I222" s="3"/>
    </row>
    <row r="223" spans="9:9" ht="14.4" customHeight="1">
      <c r="I223" s="3"/>
    </row>
    <row r="224" spans="9:9" ht="14.4" customHeight="1">
      <c r="I224" s="3"/>
    </row>
    <row r="225" spans="9:9" ht="14.4" customHeight="1">
      <c r="I225" s="3"/>
    </row>
    <row r="226" spans="9:9" ht="14.4" customHeight="1">
      <c r="I226" s="3"/>
    </row>
    <row r="227" spans="9:9" ht="14.4" customHeight="1">
      <c r="I227" s="3"/>
    </row>
    <row r="228" spans="9:9" ht="14.4" customHeight="1">
      <c r="I228" s="3"/>
    </row>
    <row r="229" spans="9:9" ht="14.4" customHeight="1">
      <c r="I229" s="3"/>
    </row>
    <row r="230" spans="9:9" ht="14.4" customHeight="1">
      <c r="I230" s="3"/>
    </row>
    <row r="231" spans="9:9" ht="14.4" customHeight="1">
      <c r="I231" s="3"/>
    </row>
    <row r="232" spans="9:9" ht="14.4" customHeight="1">
      <c r="I232" s="3"/>
    </row>
    <row r="233" spans="9:9" ht="14.4" customHeight="1">
      <c r="I233" s="3"/>
    </row>
    <row r="234" spans="9:9" ht="14.4" customHeight="1">
      <c r="I234" s="3"/>
    </row>
    <row r="235" spans="9:9" ht="14.4" customHeight="1">
      <c r="I235" s="3"/>
    </row>
    <row r="236" spans="9:9" ht="14.4" customHeight="1">
      <c r="I236" s="3"/>
    </row>
    <row r="237" spans="9:9" ht="14.4" customHeight="1">
      <c r="I237" s="3"/>
    </row>
    <row r="238" spans="9:9" ht="14.4" customHeight="1">
      <c r="I238" s="3"/>
    </row>
    <row r="239" spans="9:9" ht="14.4" customHeight="1">
      <c r="I239" s="3"/>
    </row>
    <row r="240" spans="9:9" ht="14.4" customHeight="1">
      <c r="I240" s="3"/>
    </row>
    <row r="241" spans="9:9" ht="14.4" customHeight="1">
      <c r="I241" s="3"/>
    </row>
    <row r="242" spans="9:9" ht="14.4" customHeight="1">
      <c r="I242" s="3"/>
    </row>
    <row r="243" spans="9:9" ht="14.4" customHeight="1">
      <c r="I243" s="3"/>
    </row>
    <row r="244" spans="9:9" ht="14.4" customHeight="1">
      <c r="I244" s="3"/>
    </row>
    <row r="245" spans="9:9" ht="14.4" customHeight="1">
      <c r="I245" s="3"/>
    </row>
    <row r="246" spans="9:9" ht="14.4" customHeight="1">
      <c r="I246" s="3"/>
    </row>
    <row r="247" spans="9:9" ht="14.4" customHeight="1">
      <c r="I247" s="3"/>
    </row>
    <row r="248" spans="9:9" ht="14.4" customHeight="1">
      <c r="I248" s="3"/>
    </row>
    <row r="249" spans="9:9" ht="14.4" customHeight="1">
      <c r="I249" s="3"/>
    </row>
    <row r="250" spans="9:9" ht="14.4" customHeight="1">
      <c r="I250" s="3"/>
    </row>
    <row r="251" spans="9:9" ht="14.4" customHeight="1">
      <c r="I251" s="3"/>
    </row>
    <row r="252" spans="9:9" ht="14.4" customHeight="1">
      <c r="I252" s="3"/>
    </row>
    <row r="253" spans="9:9" ht="14.4" customHeight="1">
      <c r="I253" s="3"/>
    </row>
    <row r="254" spans="9:9" ht="14.4" customHeight="1">
      <c r="I254" s="3"/>
    </row>
    <row r="255" spans="9:9" ht="14.4" customHeight="1">
      <c r="I255" s="3"/>
    </row>
    <row r="256" spans="9:9" ht="14.4" customHeight="1">
      <c r="I256" s="3"/>
    </row>
    <row r="257" spans="9:9" ht="14.4" customHeight="1">
      <c r="I257" s="3"/>
    </row>
    <row r="258" spans="9:9" ht="14.4" customHeight="1">
      <c r="I258" s="3"/>
    </row>
    <row r="259" spans="9:9" ht="14.4" customHeight="1">
      <c r="I259" s="3"/>
    </row>
    <row r="260" spans="9:9" ht="14.4" customHeight="1">
      <c r="I260" s="3"/>
    </row>
    <row r="261" spans="9:9" ht="14.4" customHeight="1">
      <c r="I261" s="3"/>
    </row>
    <row r="262" spans="9:9" ht="14.4" customHeight="1">
      <c r="I262" s="3"/>
    </row>
    <row r="263" spans="9:9" ht="14.4" customHeight="1">
      <c r="I263" s="3"/>
    </row>
    <row r="264" spans="9:9" ht="14.4" customHeight="1">
      <c r="I264" s="3"/>
    </row>
    <row r="265" spans="9:9" ht="14.4" customHeight="1">
      <c r="I265" s="3"/>
    </row>
    <row r="266" spans="9:9" ht="14.4" customHeight="1">
      <c r="I266" s="3"/>
    </row>
    <row r="267" spans="9:9" ht="14.4" customHeight="1">
      <c r="I267" s="3"/>
    </row>
    <row r="268" spans="9:9" ht="14.4" customHeight="1">
      <c r="I268" s="3"/>
    </row>
    <row r="269" spans="9:9" ht="14.4" customHeight="1">
      <c r="I269" s="3"/>
    </row>
    <row r="270" spans="9:9" ht="14.4" customHeight="1">
      <c r="I270" s="3"/>
    </row>
    <row r="271" spans="9:9" ht="14.4" customHeight="1">
      <c r="I271" s="3"/>
    </row>
    <row r="272" spans="9:9" ht="14.4" customHeight="1">
      <c r="I272" s="3"/>
    </row>
    <row r="273" spans="9:9" ht="14.4" customHeight="1">
      <c r="I273" s="3"/>
    </row>
    <row r="274" spans="9:9" ht="14.4" customHeight="1">
      <c r="I274" s="3"/>
    </row>
    <row r="275" spans="9:9" ht="14.4" customHeight="1">
      <c r="I275" s="3"/>
    </row>
    <row r="276" spans="9:9" ht="14.4" customHeight="1">
      <c r="I276" s="3"/>
    </row>
    <row r="277" spans="9:9" ht="14.4" customHeight="1">
      <c r="I277" s="3"/>
    </row>
    <row r="278" spans="9:9" ht="14.4" customHeight="1">
      <c r="I278" s="3"/>
    </row>
    <row r="279" spans="9:9" ht="14.4" customHeight="1">
      <c r="I279" s="3"/>
    </row>
    <row r="280" spans="9:9" ht="14.4" customHeight="1">
      <c r="I280" s="3"/>
    </row>
    <row r="281" spans="9:9" ht="14.4" customHeight="1">
      <c r="I281" s="3"/>
    </row>
    <row r="282" spans="9:9" ht="14.4" customHeight="1">
      <c r="I282" s="3"/>
    </row>
    <row r="283" spans="9:9" ht="14.4" customHeight="1">
      <c r="I283" s="3"/>
    </row>
    <row r="284" spans="9:9" ht="14.4" customHeight="1">
      <c r="I284" s="3"/>
    </row>
    <row r="285" spans="9:9" ht="14.4" customHeight="1">
      <c r="I285" s="3"/>
    </row>
    <row r="286" spans="9:9" ht="14.4" customHeight="1">
      <c r="I286" s="3"/>
    </row>
    <row r="287" spans="9:9" ht="14.4" customHeight="1">
      <c r="I287" s="3"/>
    </row>
    <row r="288" spans="9:9" ht="14.4" customHeight="1">
      <c r="I288" s="3"/>
    </row>
    <row r="289" spans="9:9" ht="14.4" customHeight="1">
      <c r="I289" s="3"/>
    </row>
    <row r="290" spans="9:9" ht="14.4" customHeight="1">
      <c r="I290" s="3"/>
    </row>
    <row r="291" spans="9:9" ht="14.4" customHeight="1">
      <c r="I291" s="3"/>
    </row>
    <row r="292" spans="9:9" ht="14.4" customHeight="1">
      <c r="I292" s="3"/>
    </row>
    <row r="293" spans="9:9" ht="14.4" customHeight="1">
      <c r="I293" s="3"/>
    </row>
    <row r="294" spans="9:9" ht="14.4" customHeight="1">
      <c r="I294" s="3"/>
    </row>
    <row r="295" spans="9:9" ht="14.4" customHeight="1">
      <c r="I295" s="3"/>
    </row>
    <row r="296" spans="9:9" ht="14.4" customHeight="1">
      <c r="I296" s="3"/>
    </row>
    <row r="297" spans="9:9" ht="14.4" customHeight="1">
      <c r="I297" s="3"/>
    </row>
    <row r="298" spans="9:9" ht="14.4" customHeight="1">
      <c r="I298" s="3"/>
    </row>
    <row r="299" spans="9:9" ht="14.4" customHeight="1">
      <c r="I299" s="3"/>
    </row>
    <row r="300" spans="9:9" ht="14.4" customHeight="1">
      <c r="I300" s="3"/>
    </row>
    <row r="301" spans="9:9" ht="14.4" customHeight="1">
      <c r="I301" s="3"/>
    </row>
    <row r="302" spans="9:9" ht="14.4" customHeight="1">
      <c r="I302" s="3"/>
    </row>
    <row r="303" spans="9:9" ht="14.4" customHeight="1">
      <c r="I303" s="3"/>
    </row>
    <row r="304" spans="9:9" ht="14.4" customHeight="1">
      <c r="I304" s="3"/>
    </row>
    <row r="305" spans="9:9" ht="14.4" customHeight="1">
      <c r="I305" s="3"/>
    </row>
    <row r="306" spans="9:9" ht="14.4" customHeight="1">
      <c r="I306" s="3"/>
    </row>
    <row r="307" spans="9:9" ht="14.4" customHeight="1">
      <c r="I307" s="3"/>
    </row>
    <row r="308" spans="9:9" ht="14.4" customHeight="1">
      <c r="I308" s="3"/>
    </row>
    <row r="309" spans="9:9" ht="14.4" customHeight="1">
      <c r="I309" s="3"/>
    </row>
    <row r="310" spans="9:9" ht="14.4" customHeight="1">
      <c r="I310" s="3"/>
    </row>
    <row r="311" spans="9:9" ht="14.4" customHeight="1">
      <c r="I311" s="3"/>
    </row>
    <row r="312" spans="9:9" ht="14.4" customHeight="1">
      <c r="I312" s="3"/>
    </row>
    <row r="313" spans="9:9" ht="14.4" customHeight="1">
      <c r="I313" s="3"/>
    </row>
    <row r="314" spans="9:9" ht="14.4" customHeight="1">
      <c r="I314" s="3"/>
    </row>
    <row r="315" spans="9:9" ht="14.4" customHeight="1">
      <c r="I315" s="3"/>
    </row>
    <row r="316" spans="9:9" ht="14.4" customHeight="1">
      <c r="I316" s="3"/>
    </row>
    <row r="317" spans="9:9" ht="14.4" customHeight="1">
      <c r="I317" s="3"/>
    </row>
    <row r="318" spans="9:9" ht="14.4" customHeight="1">
      <c r="I318" s="3"/>
    </row>
    <row r="319" spans="9:9" ht="14.4" customHeight="1">
      <c r="I319" s="3"/>
    </row>
    <row r="320" spans="9:9" ht="14.4" customHeight="1">
      <c r="I320" s="3"/>
    </row>
    <row r="321" spans="9:9" ht="14.4" customHeight="1">
      <c r="I321" s="3"/>
    </row>
    <row r="322" spans="9:9" ht="14.4" customHeight="1">
      <c r="I322" s="3"/>
    </row>
    <row r="323" spans="9:9" ht="14.4" customHeight="1">
      <c r="I323" s="3"/>
    </row>
    <row r="324" spans="9:9" ht="14.4" customHeight="1">
      <c r="I324" s="3"/>
    </row>
    <row r="325" spans="9:9" ht="14.4" customHeight="1">
      <c r="I325" s="3"/>
    </row>
    <row r="326" spans="9:9" ht="14.4" customHeight="1">
      <c r="I326" s="3"/>
    </row>
    <row r="327" spans="9:9" ht="14.4" customHeight="1">
      <c r="I327" s="3"/>
    </row>
    <row r="328" spans="9:9" ht="14.4" customHeight="1">
      <c r="I328" s="3"/>
    </row>
    <row r="329" spans="9:9" ht="14.4" customHeight="1">
      <c r="I329" s="3"/>
    </row>
    <row r="330" spans="9:9" ht="14.4" customHeight="1">
      <c r="I330" s="3"/>
    </row>
    <row r="331" spans="9:9" ht="14.4" customHeight="1">
      <c r="I331" s="3"/>
    </row>
    <row r="332" spans="9:9" ht="14.4" customHeight="1">
      <c r="I332" s="3"/>
    </row>
    <row r="333" spans="9:9" ht="14.4" customHeight="1">
      <c r="I333" s="3"/>
    </row>
    <row r="334" spans="9:9" ht="14.4" customHeight="1">
      <c r="I334" s="3"/>
    </row>
    <row r="335" spans="9:9" ht="14.4" customHeight="1">
      <c r="I335" s="3"/>
    </row>
    <row r="336" spans="9:9" ht="14.4" customHeight="1">
      <c r="I336" s="3"/>
    </row>
    <row r="337" spans="9:9" ht="14.4" customHeight="1">
      <c r="I337" s="3"/>
    </row>
    <row r="338" spans="9:9" ht="14.4" customHeight="1">
      <c r="I338" s="3"/>
    </row>
    <row r="339" spans="9:9" ht="14.4" customHeight="1">
      <c r="I339" s="3"/>
    </row>
    <row r="340" spans="9:9" ht="14.4" customHeight="1">
      <c r="I340" s="3"/>
    </row>
    <row r="341" spans="9:9" ht="14.4" customHeight="1">
      <c r="I341" s="3"/>
    </row>
    <row r="342" spans="9:9" ht="14.4" customHeight="1">
      <c r="I342" s="3"/>
    </row>
    <row r="343" spans="9:9" ht="14.4" customHeight="1">
      <c r="I343" s="3"/>
    </row>
    <row r="344" spans="9:9" ht="14.4" customHeight="1">
      <c r="I344" s="3"/>
    </row>
    <row r="345" spans="9:9" ht="14.4" customHeight="1">
      <c r="I345" s="3"/>
    </row>
    <row r="346" spans="9:9" ht="14.4" customHeight="1">
      <c r="I346" s="3"/>
    </row>
    <row r="347" spans="9:9" ht="14.4" customHeight="1">
      <c r="I347" s="3"/>
    </row>
    <row r="348" spans="9:9" ht="14.4" customHeight="1">
      <c r="I348" s="3"/>
    </row>
    <row r="349" spans="9:9" ht="14.4" customHeight="1">
      <c r="I349" s="3"/>
    </row>
    <row r="350" spans="9:9" ht="14.4" customHeight="1">
      <c r="I350" s="3"/>
    </row>
    <row r="351" spans="9:9" ht="14.4" customHeight="1">
      <c r="I351" s="3"/>
    </row>
    <row r="352" spans="9:9" ht="14.4" customHeight="1">
      <c r="I352" s="3"/>
    </row>
    <row r="353" spans="9:9" ht="14.4" customHeight="1">
      <c r="I353" s="3"/>
    </row>
    <row r="354" spans="9:9" ht="14.4" customHeight="1">
      <c r="I354" s="3"/>
    </row>
    <row r="355" spans="9:9" ht="14.4" customHeight="1">
      <c r="I355" s="3"/>
    </row>
    <row r="356" spans="9:9" ht="14.4" customHeight="1">
      <c r="I356" s="3"/>
    </row>
    <row r="357" spans="9:9" ht="14.4" customHeight="1">
      <c r="I357" s="3"/>
    </row>
    <row r="358" spans="9:9" ht="14.4" customHeight="1">
      <c r="I358" s="3"/>
    </row>
    <row r="359" spans="9:9" ht="14.4" customHeight="1">
      <c r="I359" s="3"/>
    </row>
    <row r="360" spans="9:9" ht="14.4" customHeight="1">
      <c r="I360" s="3"/>
    </row>
    <row r="361" spans="9:9" ht="14.4" customHeight="1">
      <c r="I361" s="3"/>
    </row>
    <row r="362" spans="9:9" ht="14.4" customHeight="1">
      <c r="I362" s="3"/>
    </row>
    <row r="363" spans="9:9" ht="14.4" customHeight="1">
      <c r="I363" s="3"/>
    </row>
    <row r="364" spans="9:9" ht="14.4" customHeight="1">
      <c r="I364" s="3"/>
    </row>
    <row r="365" spans="9:9" ht="14.4" customHeight="1">
      <c r="I365" s="3"/>
    </row>
    <row r="366" spans="9:9" ht="14.4" customHeight="1">
      <c r="I366" s="3"/>
    </row>
    <row r="367" spans="9:9" ht="14.4" customHeight="1">
      <c r="I367" s="3"/>
    </row>
    <row r="368" spans="9:9" ht="14.4" customHeight="1">
      <c r="I368" s="3"/>
    </row>
    <row r="369" spans="9:9" ht="14.4" customHeight="1">
      <c r="I369" s="3"/>
    </row>
    <row r="370" spans="9:9" ht="14.4" customHeight="1">
      <c r="I370" s="3"/>
    </row>
    <row r="371" spans="9:9" ht="14.4" customHeight="1">
      <c r="I371" s="3"/>
    </row>
    <row r="372" spans="9:9" ht="14.4" customHeight="1">
      <c r="I372" s="3"/>
    </row>
    <row r="373" spans="9:9" ht="14.4" customHeight="1">
      <c r="I373" s="3"/>
    </row>
    <row r="374" spans="9:9" ht="14.4" customHeight="1">
      <c r="I374" s="3"/>
    </row>
    <row r="375" spans="9:9" ht="14.4" customHeight="1">
      <c r="I375" s="3"/>
    </row>
    <row r="376" spans="9:9" ht="14.4" customHeight="1">
      <c r="I376" s="3"/>
    </row>
    <row r="377" spans="9:9" ht="14.4" customHeight="1">
      <c r="I377" s="3"/>
    </row>
    <row r="378" spans="9:9" ht="14.4" customHeight="1">
      <c r="I378" s="3"/>
    </row>
    <row r="379" spans="9:9" ht="14.4" customHeight="1">
      <c r="I379" s="3"/>
    </row>
    <row r="380" spans="9:9" ht="14.4" customHeight="1">
      <c r="I380" s="3"/>
    </row>
    <row r="381" spans="9:9" ht="14.4" customHeight="1">
      <c r="I381" s="3"/>
    </row>
    <row r="382" spans="9:9" ht="14.4" customHeight="1">
      <c r="I382" s="3"/>
    </row>
    <row r="383" spans="9:9" ht="14.4" customHeight="1">
      <c r="I383" s="3"/>
    </row>
    <row r="384" spans="9:9" ht="14.4" customHeight="1">
      <c r="I384" s="3"/>
    </row>
    <row r="385" spans="9:9" ht="14.4" customHeight="1">
      <c r="I385" s="3"/>
    </row>
    <row r="386" spans="9:9" ht="14.4" customHeight="1">
      <c r="I386" s="3"/>
    </row>
    <row r="387" spans="9:9" ht="14.4" customHeight="1">
      <c r="I387" s="3"/>
    </row>
    <row r="388" spans="9:9" ht="14.4" customHeight="1">
      <c r="I388" s="3"/>
    </row>
    <row r="389" spans="9:9" ht="14.4" customHeight="1">
      <c r="I389" s="3"/>
    </row>
    <row r="390" spans="9:9" ht="14.4" customHeight="1">
      <c r="I390" s="3"/>
    </row>
    <row r="391" spans="9:9" ht="14.4" customHeight="1">
      <c r="I391" s="3"/>
    </row>
    <row r="392" spans="9:9" ht="14.4" customHeight="1">
      <c r="I392" s="3"/>
    </row>
    <row r="393" spans="9:9" ht="14.4" customHeight="1">
      <c r="I393" s="3"/>
    </row>
    <row r="394" spans="9:9" ht="14.4" customHeight="1">
      <c r="I394" s="3"/>
    </row>
    <row r="395" spans="9:9" ht="14.4" customHeight="1">
      <c r="I395" s="3"/>
    </row>
    <row r="396" spans="9:9" ht="14.4" customHeight="1">
      <c r="I396" s="3"/>
    </row>
    <row r="397" spans="9:9" ht="14.4" customHeight="1">
      <c r="I397" s="3"/>
    </row>
    <row r="398" spans="9:9" ht="14.4" customHeight="1">
      <c r="I398" s="3"/>
    </row>
    <row r="399" spans="9:9" ht="14.4" customHeight="1">
      <c r="I399" s="3"/>
    </row>
    <row r="400" spans="9:9" ht="14.4" customHeight="1">
      <c r="I400" s="3"/>
    </row>
    <row r="401" spans="9:9" ht="14.4" customHeight="1">
      <c r="I401" s="3"/>
    </row>
    <row r="402" spans="9:9" ht="14.4" customHeight="1">
      <c r="I402" s="3"/>
    </row>
    <row r="403" spans="9:9" ht="14.4" customHeight="1">
      <c r="I403" s="3"/>
    </row>
    <row r="404" spans="9:9" ht="14.4" customHeight="1">
      <c r="I404" s="3"/>
    </row>
    <row r="405" spans="9:9" ht="14.4" customHeight="1">
      <c r="I405" s="3"/>
    </row>
    <row r="406" spans="9:9" ht="14.4" customHeight="1">
      <c r="I406" s="3"/>
    </row>
    <row r="407" spans="9:9" ht="14.4" customHeight="1">
      <c r="I407" s="3"/>
    </row>
    <row r="408" spans="9:9" ht="14.4" customHeight="1">
      <c r="I408" s="3"/>
    </row>
    <row r="409" spans="9:9" ht="14.4" customHeight="1">
      <c r="I409" s="3"/>
    </row>
    <row r="410" spans="9:9" ht="14.4" customHeight="1">
      <c r="I410" s="3"/>
    </row>
    <row r="411" spans="9:9" ht="14.4" customHeight="1">
      <c r="I411" s="3"/>
    </row>
    <row r="412" spans="9:9" ht="14.4" customHeight="1">
      <c r="I412" s="3"/>
    </row>
    <row r="413" spans="9:9" ht="14.4" customHeight="1">
      <c r="I413" s="3"/>
    </row>
    <row r="414" spans="9:9" ht="14.4" customHeight="1">
      <c r="I414" s="3"/>
    </row>
    <row r="415" spans="9:9" ht="14.4" customHeight="1">
      <c r="I415" s="3"/>
    </row>
    <row r="416" spans="9:9" ht="14.4" customHeight="1">
      <c r="I416" s="3"/>
    </row>
    <row r="417" spans="9:9" ht="14.4" customHeight="1">
      <c r="I417" s="3"/>
    </row>
    <row r="418" spans="9:9" ht="14.4" customHeight="1">
      <c r="I418" s="3"/>
    </row>
    <row r="419" spans="9:9" ht="14.4" customHeight="1">
      <c r="I419" s="3"/>
    </row>
    <row r="420" spans="9:9" ht="14.4" customHeight="1">
      <c r="I420" s="3"/>
    </row>
    <row r="421" spans="9:9" ht="14.4" customHeight="1">
      <c r="I421" s="3"/>
    </row>
    <row r="422" spans="9:9" ht="14.4" customHeight="1">
      <c r="I422" s="3"/>
    </row>
    <row r="423" spans="9:9" ht="14.4" customHeight="1">
      <c r="I423" s="3"/>
    </row>
    <row r="424" spans="9:9" ht="14.4" customHeight="1">
      <c r="I424" s="3"/>
    </row>
    <row r="425" spans="9:9" ht="14.4" customHeight="1">
      <c r="I425" s="3"/>
    </row>
    <row r="426" spans="9:9" ht="14.4" customHeight="1">
      <c r="I426" s="3"/>
    </row>
    <row r="427" spans="9:9" ht="14.4" customHeight="1">
      <c r="I427" s="3"/>
    </row>
    <row r="428" spans="9:9" ht="14.4" customHeight="1">
      <c r="I428" s="3"/>
    </row>
    <row r="429" spans="9:9" ht="14.4" customHeight="1">
      <c r="I429" s="3"/>
    </row>
    <row r="430" spans="9:9" ht="14.4" customHeight="1">
      <c r="I430" s="3"/>
    </row>
    <row r="431" spans="9:9" ht="14.4" customHeight="1">
      <c r="I431" s="3"/>
    </row>
    <row r="432" spans="9:9" ht="14.4" customHeight="1">
      <c r="I432" s="3"/>
    </row>
    <row r="433" spans="9:9" ht="14.4" customHeight="1">
      <c r="I433" s="3"/>
    </row>
    <row r="434" spans="9:9" ht="14.4" customHeight="1">
      <c r="I434" s="3"/>
    </row>
    <row r="435" spans="9:9" ht="14.4" customHeight="1">
      <c r="I435" s="3"/>
    </row>
    <row r="436" spans="9:9" ht="14.4" customHeight="1">
      <c r="I436" s="3"/>
    </row>
    <row r="437" spans="9:9" ht="14.4" customHeight="1">
      <c r="I437" s="3"/>
    </row>
    <row r="438" spans="9:9" ht="14.4" customHeight="1">
      <c r="I438" s="3"/>
    </row>
    <row r="439" spans="9:9" ht="14.4" customHeight="1">
      <c r="I439" s="3"/>
    </row>
    <row r="440" spans="9:9" ht="14.4" customHeight="1">
      <c r="I440" s="3"/>
    </row>
    <row r="441" spans="9:9" ht="14.4" customHeight="1">
      <c r="I441" s="3"/>
    </row>
    <row r="442" spans="9:9" ht="14.4" customHeight="1">
      <c r="I442" s="3"/>
    </row>
    <row r="443" spans="9:9" ht="14.4" customHeight="1">
      <c r="I443" s="3"/>
    </row>
    <row r="444" spans="9:9" ht="14.4" customHeight="1">
      <c r="I444" s="3"/>
    </row>
    <row r="445" spans="9:9" ht="14.4" customHeight="1">
      <c r="I445" s="3"/>
    </row>
    <row r="446" spans="9:9" ht="14.4" customHeight="1">
      <c r="I446" s="3"/>
    </row>
    <row r="447" spans="9:9" ht="14.4" customHeight="1">
      <c r="I447" s="3"/>
    </row>
    <row r="448" spans="9:9" ht="14.4" customHeight="1">
      <c r="I448" s="3"/>
    </row>
    <row r="449" spans="9:9" ht="14.4" customHeight="1">
      <c r="I449" s="3"/>
    </row>
    <row r="450" spans="9:9" ht="14.4" customHeight="1">
      <c r="I450" s="3"/>
    </row>
    <row r="451" spans="9:9" ht="14.4" customHeight="1">
      <c r="I451" s="3"/>
    </row>
    <row r="452" spans="9:9" ht="14.4" customHeight="1">
      <c r="I452" s="3"/>
    </row>
    <row r="453" spans="9:9" ht="14.4" customHeight="1">
      <c r="I453" s="3"/>
    </row>
    <row r="454" spans="9:9" ht="14.4" customHeight="1">
      <c r="I454" s="3"/>
    </row>
    <row r="455" spans="9:9" ht="14.4" customHeight="1">
      <c r="I455" s="3"/>
    </row>
    <row r="456" spans="9:9" ht="14.4" customHeight="1">
      <c r="I456" s="3"/>
    </row>
    <row r="457" spans="9:9" ht="14.4" customHeight="1">
      <c r="I457" s="3"/>
    </row>
    <row r="458" spans="9:9" ht="14.4" customHeight="1">
      <c r="I458" s="3"/>
    </row>
    <row r="459" spans="9:9" ht="14.4" customHeight="1">
      <c r="I459" s="3"/>
    </row>
    <row r="460" spans="9:9" ht="14.4" customHeight="1">
      <c r="I460" s="3"/>
    </row>
    <row r="461" spans="9:9" ht="14.4" customHeight="1">
      <c r="I461" s="3"/>
    </row>
    <row r="462" spans="9:9" ht="14.4" customHeight="1">
      <c r="I462" s="3"/>
    </row>
    <row r="463" spans="9:9" ht="14.4" customHeight="1">
      <c r="I463" s="3"/>
    </row>
    <row r="464" spans="9:9" ht="14.4" customHeight="1">
      <c r="I464" s="3"/>
    </row>
    <row r="465" spans="9:9" ht="14.4" customHeight="1">
      <c r="I465" s="3"/>
    </row>
    <row r="466" spans="9:9" ht="14.4" customHeight="1">
      <c r="I466" s="3"/>
    </row>
    <row r="467" spans="9:9" ht="14.4" customHeight="1">
      <c r="I467" s="3"/>
    </row>
    <row r="468" spans="9:9" ht="14.4" customHeight="1">
      <c r="I468" s="3"/>
    </row>
    <row r="469" spans="9:9" ht="14.4" customHeight="1">
      <c r="I469" s="3"/>
    </row>
    <row r="470" spans="9:9" ht="14.4" customHeight="1">
      <c r="I470" s="3"/>
    </row>
    <row r="471" spans="9:9" ht="14.4" customHeight="1">
      <c r="I471" s="3"/>
    </row>
    <row r="472" spans="9:9" ht="14.4" customHeight="1">
      <c r="I472" s="3"/>
    </row>
    <row r="473" spans="9:9" ht="14.4" customHeight="1">
      <c r="I473" s="3"/>
    </row>
    <row r="474" spans="9:9" ht="14.4" customHeight="1">
      <c r="I474" s="3"/>
    </row>
    <row r="475" spans="9:9" ht="14.4" customHeight="1">
      <c r="I475" s="3"/>
    </row>
    <row r="476" spans="9:9" ht="14.4" customHeight="1">
      <c r="I476" s="3"/>
    </row>
    <row r="477" spans="9:9" ht="14.4" customHeight="1">
      <c r="I477" s="3"/>
    </row>
    <row r="478" spans="9:9" ht="14.4" customHeight="1">
      <c r="I478" s="3"/>
    </row>
    <row r="479" spans="9:9" ht="14.4" customHeight="1">
      <c r="I479" s="3"/>
    </row>
    <row r="480" spans="9:9" ht="14.4" customHeight="1">
      <c r="I480" s="3"/>
    </row>
    <row r="481" spans="9:9" ht="14.4" customHeight="1">
      <c r="I481" s="3"/>
    </row>
    <row r="482" spans="9:9" ht="14.4" customHeight="1">
      <c r="I482" s="3"/>
    </row>
    <row r="483" spans="9:9" ht="14.4" customHeight="1">
      <c r="I483" s="3"/>
    </row>
    <row r="484" spans="9:9" ht="14.4" customHeight="1">
      <c r="I484" s="3"/>
    </row>
    <row r="485" spans="9:9" ht="14.4" customHeight="1">
      <c r="I485" s="3"/>
    </row>
    <row r="486" spans="9:9" ht="14.4" customHeight="1">
      <c r="I486" s="3"/>
    </row>
    <row r="487" spans="9:9" ht="14.4" customHeight="1">
      <c r="I487" s="3"/>
    </row>
    <row r="488" spans="9:9" ht="14.4" customHeight="1">
      <c r="I488" s="3"/>
    </row>
    <row r="489" spans="9:9" ht="14.4" customHeight="1">
      <c r="I489" s="3"/>
    </row>
    <row r="490" spans="9:9" ht="14.4" customHeight="1">
      <c r="I490" s="3"/>
    </row>
    <row r="491" spans="9:9" ht="14.4" customHeight="1">
      <c r="I491" s="3"/>
    </row>
    <row r="492" spans="9:9" ht="14.4" customHeight="1">
      <c r="I492" s="3"/>
    </row>
    <row r="493" spans="9:9" ht="14.4" customHeight="1">
      <c r="I493" s="3"/>
    </row>
    <row r="494" spans="9:9" ht="14.4" customHeight="1">
      <c r="I494" s="3"/>
    </row>
    <row r="495" spans="9:9" ht="14.4" customHeight="1">
      <c r="I495" s="3"/>
    </row>
    <row r="496" spans="9:9" ht="14.4" customHeight="1">
      <c r="I496" s="3"/>
    </row>
    <row r="497" spans="9:9" ht="14.4" customHeight="1">
      <c r="I497" s="3"/>
    </row>
    <row r="498" spans="9:9" ht="14.4" customHeight="1">
      <c r="I498" s="3"/>
    </row>
    <row r="499" spans="9:9" ht="14.4" customHeight="1">
      <c r="I499" s="3"/>
    </row>
    <row r="500" spans="9:9" ht="14.4" customHeight="1">
      <c r="I500" s="3"/>
    </row>
    <row r="501" spans="9:9" ht="14.4" customHeight="1">
      <c r="I501" s="3"/>
    </row>
    <row r="502" spans="9:9" ht="14.4" customHeight="1">
      <c r="I502" s="3"/>
    </row>
    <row r="503" spans="9:9" ht="14.4" customHeight="1">
      <c r="I503" s="3"/>
    </row>
    <row r="504" spans="9:9" ht="14.4" customHeight="1">
      <c r="I504" s="3"/>
    </row>
    <row r="505" spans="9:9" ht="14.4" customHeight="1">
      <c r="I505" s="3"/>
    </row>
    <row r="506" spans="9:9" ht="14.4" customHeight="1">
      <c r="I506" s="3"/>
    </row>
    <row r="507" spans="9:9" ht="14.4" customHeight="1">
      <c r="I507" s="3"/>
    </row>
    <row r="508" spans="9:9" ht="14.4" customHeight="1">
      <c r="I508" s="3"/>
    </row>
    <row r="509" spans="9:9" ht="14.4" customHeight="1">
      <c r="I509" s="3"/>
    </row>
    <row r="510" spans="9:9" ht="14.4" customHeight="1">
      <c r="I510" s="3"/>
    </row>
    <row r="511" spans="9:9" ht="14.4" customHeight="1">
      <c r="I511" s="3"/>
    </row>
    <row r="512" spans="9:9" ht="14.4" customHeight="1">
      <c r="I512" s="3"/>
    </row>
    <row r="513" spans="9:9" ht="14.4" customHeight="1">
      <c r="I513" s="3"/>
    </row>
    <row r="514" spans="9:9" ht="14.4" customHeight="1">
      <c r="I514" s="3"/>
    </row>
    <row r="515" spans="9:9" ht="14.4" customHeight="1">
      <c r="I515" s="3"/>
    </row>
    <row r="516" spans="9:9" ht="14.4" customHeight="1">
      <c r="I516" s="3"/>
    </row>
    <row r="517" spans="9:9" ht="14.4" customHeight="1">
      <c r="I517" s="3"/>
    </row>
    <row r="518" spans="9:9" ht="14.4" customHeight="1">
      <c r="I518" s="3"/>
    </row>
    <row r="519" spans="9:9" ht="14.4" customHeight="1">
      <c r="I519" s="3"/>
    </row>
    <row r="520" spans="9:9" ht="14.4" customHeight="1">
      <c r="I520" s="3"/>
    </row>
    <row r="521" spans="9:9" ht="14.4" customHeight="1">
      <c r="I521" s="3"/>
    </row>
    <row r="522" spans="9:9" ht="14.4" customHeight="1">
      <c r="I522" s="3"/>
    </row>
    <row r="523" spans="9:9" ht="14.4" customHeight="1">
      <c r="I523" s="3"/>
    </row>
    <row r="524" spans="9:9" ht="14.4" customHeight="1">
      <c r="I524" s="3"/>
    </row>
    <row r="525" spans="9:9" ht="14.4" customHeight="1">
      <c r="I525" s="3"/>
    </row>
    <row r="526" spans="9:9" ht="14.4" customHeight="1">
      <c r="I526" s="3"/>
    </row>
    <row r="527" spans="9:9" ht="14.4" customHeight="1">
      <c r="I527" s="3"/>
    </row>
    <row r="528" spans="9:9" ht="14.4" customHeight="1">
      <c r="I528" s="3"/>
    </row>
    <row r="529" spans="9:9" ht="14.4" customHeight="1">
      <c r="I529" s="3"/>
    </row>
    <row r="530" spans="9:9" ht="14.4" customHeight="1">
      <c r="I530" s="3"/>
    </row>
    <row r="531" spans="9:9" ht="14.4" customHeight="1">
      <c r="I531" s="3"/>
    </row>
    <row r="532" spans="9:9" ht="14.4" customHeight="1">
      <c r="I532" s="3"/>
    </row>
    <row r="533" spans="9:9" ht="14.4" customHeight="1">
      <c r="I533" s="3"/>
    </row>
    <row r="534" spans="9:9" ht="14.4" customHeight="1">
      <c r="I534" s="3"/>
    </row>
    <row r="535" spans="9:9" ht="14.4" customHeight="1">
      <c r="I535" s="3"/>
    </row>
    <row r="536" spans="9:9" ht="14.4" customHeight="1">
      <c r="I536" s="3"/>
    </row>
    <row r="537" spans="9:9" ht="14.4" customHeight="1">
      <c r="I537" s="3"/>
    </row>
    <row r="538" spans="9:9" ht="14.4" customHeight="1">
      <c r="I538" s="3"/>
    </row>
    <row r="539" spans="9:9" ht="14.4" customHeight="1">
      <c r="I539" s="3"/>
    </row>
    <row r="540" spans="9:9" ht="14.4" customHeight="1">
      <c r="I540" s="3"/>
    </row>
    <row r="541" spans="9:9" ht="14.4" customHeight="1">
      <c r="I541" s="3"/>
    </row>
    <row r="542" spans="9:9" ht="14.4" customHeight="1">
      <c r="I542" s="3"/>
    </row>
    <row r="543" spans="9:9" ht="14.4" customHeight="1">
      <c r="I543" s="3"/>
    </row>
    <row r="544" spans="9:9" ht="14.4" customHeight="1">
      <c r="I544" s="3"/>
    </row>
    <row r="545" spans="9:9" ht="14.4" customHeight="1">
      <c r="I545" s="3"/>
    </row>
    <row r="546" spans="9:9" ht="14.4" customHeight="1">
      <c r="I546" s="3"/>
    </row>
    <row r="547" spans="9:9" ht="14.4" customHeight="1">
      <c r="I547" s="3"/>
    </row>
    <row r="548" spans="9:9" ht="14.4" customHeight="1">
      <c r="I548" s="3"/>
    </row>
    <row r="549" spans="9:9" ht="14.4" customHeight="1">
      <c r="I549" s="3"/>
    </row>
    <row r="550" spans="9:9" ht="14.4" customHeight="1">
      <c r="I550" s="3"/>
    </row>
    <row r="551" spans="9:9" ht="14.4" customHeight="1">
      <c r="I551" s="3"/>
    </row>
    <row r="552" spans="9:9" ht="14.4" customHeight="1">
      <c r="I552" s="3"/>
    </row>
    <row r="553" spans="9:9" ht="14.4" customHeight="1">
      <c r="I553" s="3"/>
    </row>
    <row r="554" spans="9:9" ht="14.4" customHeight="1">
      <c r="I554" s="3"/>
    </row>
    <row r="555" spans="9:9" ht="14.4" customHeight="1">
      <c r="I555" s="3"/>
    </row>
    <row r="556" spans="9:9" ht="14.4" customHeight="1">
      <c r="I556" s="3"/>
    </row>
    <row r="557" spans="9:9" ht="14.4" customHeight="1">
      <c r="I557" s="3"/>
    </row>
    <row r="558" spans="9:9" ht="14.4" customHeight="1">
      <c r="I558" s="3"/>
    </row>
    <row r="559" spans="9:9" ht="14.4" customHeight="1">
      <c r="I559" s="3"/>
    </row>
    <row r="560" spans="9:9" ht="14.4" customHeight="1">
      <c r="I560" s="3"/>
    </row>
    <row r="561" spans="9:9" ht="14.4" customHeight="1">
      <c r="I561" s="3"/>
    </row>
    <row r="562" spans="9:9" ht="14.4" customHeight="1">
      <c r="I562" s="3"/>
    </row>
    <row r="563" spans="9:9" ht="14.4" customHeight="1">
      <c r="I563" s="3"/>
    </row>
    <row r="564" spans="9:9" ht="14.4" customHeight="1">
      <c r="I564" s="3"/>
    </row>
    <row r="565" spans="9:9" ht="14.4" customHeight="1">
      <c r="I565" s="3"/>
    </row>
    <row r="566" spans="9:9" ht="14.4" customHeight="1">
      <c r="I566" s="3"/>
    </row>
    <row r="567" spans="9:9" ht="14.4" customHeight="1">
      <c r="I567" s="3"/>
    </row>
    <row r="568" spans="9:9" ht="14.4" customHeight="1">
      <c r="I568" s="3"/>
    </row>
    <row r="569" spans="9:9" ht="14.4" customHeight="1">
      <c r="I569" s="3"/>
    </row>
    <row r="570" spans="9:9" ht="14.4" customHeight="1">
      <c r="I570" s="3"/>
    </row>
    <row r="571" spans="9:9" ht="14.4" customHeight="1">
      <c r="I571" s="3"/>
    </row>
    <row r="572" spans="9:9" ht="14.4" customHeight="1">
      <c r="I572" s="3"/>
    </row>
    <row r="573" spans="9:9" ht="14.4" customHeight="1">
      <c r="I573" s="3"/>
    </row>
    <row r="574" spans="9:9" ht="14.4" customHeight="1">
      <c r="I574" s="3"/>
    </row>
    <row r="575" spans="9:9" ht="14.4" customHeight="1">
      <c r="I575" s="3"/>
    </row>
    <row r="576" spans="9:9" ht="14.4" customHeight="1">
      <c r="I576" s="3"/>
    </row>
    <row r="577" spans="9:9" ht="14.4" customHeight="1">
      <c r="I577" s="3"/>
    </row>
    <row r="578" spans="9:9" ht="14.4" customHeight="1">
      <c r="I578" s="3"/>
    </row>
    <row r="579" spans="9:9" ht="14.4" customHeight="1">
      <c r="I579" s="3"/>
    </row>
    <row r="580" spans="9:9" ht="14.4" customHeight="1">
      <c r="I580" s="3"/>
    </row>
    <row r="581" spans="9:9" ht="14.4" customHeight="1">
      <c r="I581" s="3"/>
    </row>
    <row r="582" spans="9:9" ht="14.4" customHeight="1">
      <c r="I582" s="3"/>
    </row>
    <row r="583" spans="9:9" ht="14.4" customHeight="1">
      <c r="I583" s="3"/>
    </row>
    <row r="584" spans="9:9" ht="14.4" customHeight="1">
      <c r="I584" s="3"/>
    </row>
    <row r="585" spans="9:9" ht="14.4" customHeight="1">
      <c r="I585" s="3"/>
    </row>
    <row r="586" spans="9:9" ht="14.4" customHeight="1">
      <c r="I586" s="3"/>
    </row>
    <row r="587" spans="9:9" ht="14.4" customHeight="1">
      <c r="I587" s="3"/>
    </row>
    <row r="588" spans="9:9" ht="14.4" customHeight="1">
      <c r="I588" s="3"/>
    </row>
    <row r="589" spans="9:9" ht="14.4" customHeight="1">
      <c r="I589" s="3"/>
    </row>
    <row r="590" spans="9:9" ht="14.4" customHeight="1">
      <c r="I590" s="3"/>
    </row>
    <row r="591" spans="9:9" ht="14.4" customHeight="1">
      <c r="I591" s="3"/>
    </row>
    <row r="592" spans="9:9" ht="14.4" customHeight="1">
      <c r="I592" s="3"/>
    </row>
    <row r="593" spans="9:9" ht="14.4" customHeight="1">
      <c r="I593" s="3"/>
    </row>
    <row r="594" spans="9:9" ht="14.4" customHeight="1">
      <c r="I594" s="3"/>
    </row>
    <row r="595" spans="9:9" ht="14.4" customHeight="1">
      <c r="I595" s="3"/>
    </row>
    <row r="596" spans="9:9" ht="14.4" customHeight="1">
      <c r="I596" s="3"/>
    </row>
    <row r="597" spans="9:9" ht="14.4" customHeight="1">
      <c r="I597" s="3"/>
    </row>
    <row r="598" spans="9:9" ht="14.4" customHeight="1">
      <c r="I598" s="3"/>
    </row>
    <row r="599" spans="9:9" ht="14.4" customHeight="1">
      <c r="I599" s="3"/>
    </row>
    <row r="600" spans="9:9" ht="14.4" customHeight="1">
      <c r="I600" s="3"/>
    </row>
    <row r="601" spans="9:9" ht="14.4" customHeight="1">
      <c r="I601" s="3"/>
    </row>
    <row r="602" spans="9:9" ht="14.4" customHeight="1">
      <c r="I602" s="3"/>
    </row>
    <row r="603" spans="9:9" ht="14.4" customHeight="1">
      <c r="I603" s="3"/>
    </row>
    <row r="604" spans="9:9" ht="14.4" customHeight="1">
      <c r="I604" s="3"/>
    </row>
    <row r="605" spans="9:9" ht="14.4" customHeight="1">
      <c r="I605" s="3"/>
    </row>
    <row r="606" spans="9:9" ht="14.4" customHeight="1">
      <c r="I606" s="3"/>
    </row>
    <row r="607" spans="9:9" ht="14.4" customHeight="1">
      <c r="I607" s="3"/>
    </row>
    <row r="608" spans="9:9" ht="14.4" customHeight="1">
      <c r="I608" s="3"/>
    </row>
    <row r="609" spans="9:9" ht="14.4" customHeight="1">
      <c r="I609" s="3"/>
    </row>
    <row r="610" spans="9:9" ht="14.4" customHeight="1">
      <c r="I610" s="3"/>
    </row>
    <row r="611" spans="9:9" ht="14.4" customHeight="1">
      <c r="I611" s="3"/>
    </row>
    <row r="612" spans="9:9" ht="14.4" customHeight="1">
      <c r="I612" s="3"/>
    </row>
    <row r="613" spans="9:9" ht="14.4" customHeight="1">
      <c r="I613" s="3"/>
    </row>
    <row r="614" spans="9:9" ht="14.4" customHeight="1">
      <c r="I614" s="3"/>
    </row>
    <row r="615" spans="9:9" ht="14.4" customHeight="1">
      <c r="I615" s="3"/>
    </row>
    <row r="616" spans="9:9" ht="14.4" customHeight="1">
      <c r="I616" s="3"/>
    </row>
    <row r="617" spans="9:9" ht="14.4" customHeight="1">
      <c r="I617" s="3"/>
    </row>
    <row r="618" spans="9:9" ht="14.4" customHeight="1">
      <c r="I618" s="3"/>
    </row>
    <row r="619" spans="9:9" ht="14.4" customHeight="1">
      <c r="I619" s="3"/>
    </row>
    <row r="620" spans="9:9" ht="14.4" customHeight="1">
      <c r="I620" s="3"/>
    </row>
    <row r="621" spans="9:9" ht="14.4" customHeight="1">
      <c r="I621" s="3"/>
    </row>
    <row r="622" spans="9:9" ht="14.4" customHeight="1">
      <c r="I622" s="3"/>
    </row>
    <row r="623" spans="9:9" ht="14.4" customHeight="1">
      <c r="I623" s="3"/>
    </row>
    <row r="624" spans="9:9" ht="14.4" customHeight="1">
      <c r="I624" s="3"/>
    </row>
    <row r="625" spans="9:9" ht="14.4" customHeight="1">
      <c r="I625" s="3"/>
    </row>
    <row r="626" spans="9:9" ht="14.4" customHeight="1">
      <c r="I626" s="3"/>
    </row>
    <row r="627" spans="9:9" ht="14.4" customHeight="1">
      <c r="I627" s="3"/>
    </row>
    <row r="628" spans="9:9" ht="14.4" customHeight="1">
      <c r="I628" s="3"/>
    </row>
    <row r="629" spans="9:9" ht="14.4" customHeight="1">
      <c r="I629" s="3"/>
    </row>
    <row r="630" spans="9:9" ht="14.4" customHeight="1">
      <c r="I630" s="3"/>
    </row>
    <row r="631" spans="9:9" ht="14.4" customHeight="1">
      <c r="I631" s="3"/>
    </row>
    <row r="632" spans="9:9" ht="14.4" customHeight="1">
      <c r="I632" s="3"/>
    </row>
    <row r="633" spans="9:9" ht="14.4" customHeight="1">
      <c r="I633" s="3"/>
    </row>
    <row r="634" spans="9:9" ht="14.4" customHeight="1">
      <c r="I634" s="3"/>
    </row>
    <row r="635" spans="9:9" ht="14.4" customHeight="1">
      <c r="I635" s="3"/>
    </row>
    <row r="636" spans="9:9" ht="14.4" customHeight="1">
      <c r="I636" s="3"/>
    </row>
    <row r="637" spans="9:9" ht="14.4" customHeight="1">
      <c r="I637" s="3"/>
    </row>
    <row r="638" spans="9:9" ht="14.4" customHeight="1">
      <c r="I638" s="3"/>
    </row>
    <row r="639" spans="9:9" ht="14.4" customHeight="1">
      <c r="I639" s="3"/>
    </row>
    <row r="640" spans="9:9" ht="14.4" customHeight="1">
      <c r="I640" s="3"/>
    </row>
    <row r="641" spans="9:9" ht="14.4" customHeight="1">
      <c r="I641" s="3"/>
    </row>
    <row r="642" spans="9:9" ht="14.4" customHeight="1">
      <c r="I642" s="3"/>
    </row>
    <row r="643" spans="9:9" ht="14.4" customHeight="1">
      <c r="I643" s="3"/>
    </row>
    <row r="644" spans="9:9" ht="14.4" customHeight="1">
      <c r="I644" s="3"/>
    </row>
    <row r="645" spans="9:9" ht="14.4" customHeight="1">
      <c r="I645" s="3"/>
    </row>
    <row r="646" spans="9:9" ht="14.4" customHeight="1">
      <c r="I646" s="3"/>
    </row>
    <row r="647" spans="9:9" ht="14.4" customHeight="1">
      <c r="I647" s="3"/>
    </row>
    <row r="648" spans="9:9" ht="14.4" customHeight="1">
      <c r="I648" s="3"/>
    </row>
    <row r="649" spans="9:9" ht="14.4" customHeight="1">
      <c r="I649" s="3"/>
    </row>
    <row r="650" spans="9:9" ht="14.4" customHeight="1">
      <c r="I650" s="3"/>
    </row>
    <row r="651" spans="9:9" ht="14.4" customHeight="1">
      <c r="I651" s="3"/>
    </row>
    <row r="652" spans="9:9" ht="14.4" customHeight="1">
      <c r="I652" s="3"/>
    </row>
    <row r="653" spans="9:9" ht="14.4" customHeight="1">
      <c r="I653" s="3"/>
    </row>
    <row r="654" spans="9:9" ht="14.4" customHeight="1">
      <c r="I654" s="3"/>
    </row>
    <row r="655" spans="9:9" ht="14.4" customHeight="1">
      <c r="I655" s="3"/>
    </row>
    <row r="656" spans="9:9" ht="14.4" customHeight="1">
      <c r="I656" s="3"/>
    </row>
    <row r="657" spans="9:9" ht="14.4" customHeight="1">
      <c r="I657" s="3"/>
    </row>
    <row r="658" spans="9:9" ht="14.4" customHeight="1">
      <c r="I658" s="3"/>
    </row>
    <row r="659" spans="9:9" ht="14.4" customHeight="1">
      <c r="I659" s="3"/>
    </row>
    <row r="660" spans="9:9" ht="14.4" customHeight="1">
      <c r="I660" s="3"/>
    </row>
    <row r="661" spans="9:9" ht="14.4" customHeight="1">
      <c r="I661" s="3"/>
    </row>
    <row r="662" spans="9:9" ht="14.4" customHeight="1">
      <c r="I662" s="3"/>
    </row>
    <row r="663" spans="9:9" ht="14.4" customHeight="1">
      <c r="I663" s="3"/>
    </row>
    <row r="664" spans="9:9" ht="14.4" customHeight="1">
      <c r="I664" s="3"/>
    </row>
    <row r="665" spans="9:9" ht="14.4" customHeight="1">
      <c r="I665" s="3"/>
    </row>
    <row r="666" spans="9:9" ht="14.4" customHeight="1">
      <c r="I666" s="3"/>
    </row>
    <row r="667" spans="9:9" ht="14.4" customHeight="1">
      <c r="I667" s="3"/>
    </row>
    <row r="668" spans="9:9" ht="14.4" customHeight="1">
      <c r="I668" s="3"/>
    </row>
    <row r="669" spans="9:9" ht="14.4" customHeight="1">
      <c r="I669" s="3"/>
    </row>
    <row r="670" spans="9:9" ht="14.4" customHeight="1">
      <c r="I670" s="3"/>
    </row>
    <row r="671" spans="9:9" ht="14.4" customHeight="1">
      <c r="I671" s="3"/>
    </row>
    <row r="672" spans="9:9" ht="14.4" customHeight="1">
      <c r="I672" s="3"/>
    </row>
    <row r="673" spans="9:9" ht="14.4" customHeight="1">
      <c r="I673" s="3"/>
    </row>
    <row r="674" spans="9:9" ht="14.4" customHeight="1">
      <c r="I674" s="3"/>
    </row>
    <row r="675" spans="9:9" ht="14.4" customHeight="1">
      <c r="I675" s="3"/>
    </row>
    <row r="676" spans="9:9" ht="14.4" customHeight="1">
      <c r="I676" s="3"/>
    </row>
    <row r="677" spans="9:9" ht="14.4" customHeight="1">
      <c r="I677" s="3"/>
    </row>
    <row r="678" spans="9:9" ht="14.4" customHeight="1">
      <c r="I678" s="3"/>
    </row>
    <row r="679" spans="9:9" ht="14.4" customHeight="1">
      <c r="I679" s="3"/>
    </row>
    <row r="680" spans="9:9" ht="14.4" customHeight="1">
      <c r="I680" s="3"/>
    </row>
    <row r="681" spans="9:9" ht="14.4" customHeight="1">
      <c r="I681" s="3"/>
    </row>
    <row r="682" spans="9:9" ht="14.4" customHeight="1">
      <c r="I682" s="3"/>
    </row>
    <row r="683" spans="9:9" ht="14.4" customHeight="1">
      <c r="I683" s="3"/>
    </row>
    <row r="684" spans="9:9" ht="14.4" customHeight="1">
      <c r="I684" s="3"/>
    </row>
    <row r="685" spans="9:9" ht="14.4" customHeight="1">
      <c r="I685" s="3"/>
    </row>
    <row r="686" spans="9:9" ht="14.4" customHeight="1">
      <c r="I686" s="3"/>
    </row>
    <row r="687" spans="9:9" ht="14.4" customHeight="1">
      <c r="I687" s="3"/>
    </row>
    <row r="688" spans="9:9" ht="14.4" customHeight="1">
      <c r="I688" s="3"/>
    </row>
    <row r="689" spans="9:9" ht="14.4" customHeight="1">
      <c r="I689" s="3"/>
    </row>
    <row r="690" spans="9:9" ht="14.4" customHeight="1">
      <c r="I690" s="3"/>
    </row>
    <row r="691" spans="9:9" ht="14.4" customHeight="1">
      <c r="I691" s="3"/>
    </row>
    <row r="692" spans="9:9" ht="14.4" customHeight="1">
      <c r="I692" s="3"/>
    </row>
    <row r="693" spans="9:9" ht="14.4" customHeight="1">
      <c r="I693" s="3"/>
    </row>
    <row r="694" spans="9:9" ht="14.4" customHeight="1">
      <c r="I694" s="3"/>
    </row>
    <row r="695" spans="9:9" ht="14.4" customHeight="1">
      <c r="I695" s="3"/>
    </row>
    <row r="696" spans="9:9" ht="14.4" customHeight="1">
      <c r="I696" s="3"/>
    </row>
    <row r="697" spans="9:9" ht="14.4" customHeight="1">
      <c r="I697" s="3"/>
    </row>
    <row r="698" spans="9:9" ht="14.4" customHeight="1">
      <c r="I698" s="3"/>
    </row>
    <row r="699" spans="9:9" ht="14.4" customHeight="1">
      <c r="I699" s="3"/>
    </row>
    <row r="700" spans="9:9" ht="14.4" customHeight="1">
      <c r="I700" s="3"/>
    </row>
    <row r="701" spans="9:9" ht="14.4" customHeight="1">
      <c r="I701" s="3"/>
    </row>
    <row r="702" spans="9:9" ht="14.4" customHeight="1">
      <c r="I702" s="3"/>
    </row>
    <row r="703" spans="9:9" ht="14.4" customHeight="1">
      <c r="I703" s="3"/>
    </row>
    <row r="704" spans="9:9" ht="14.4" customHeight="1">
      <c r="I704" s="3"/>
    </row>
    <row r="705" spans="9:9" ht="14.4" customHeight="1">
      <c r="I705" s="3"/>
    </row>
    <row r="706" spans="9:9" ht="14.4" customHeight="1">
      <c r="I706" s="3"/>
    </row>
    <row r="707" spans="9:9" ht="14.4" customHeight="1">
      <c r="I707" s="3"/>
    </row>
    <row r="708" spans="9:9" ht="14.4" customHeight="1">
      <c r="I708" s="3"/>
    </row>
    <row r="709" spans="9:9" ht="14.4" customHeight="1">
      <c r="I709" s="3"/>
    </row>
    <row r="710" spans="9:9" ht="14.4" customHeight="1">
      <c r="I710" s="3"/>
    </row>
    <row r="711" spans="9:9" ht="14.4" customHeight="1">
      <c r="I711" s="3"/>
    </row>
    <row r="712" spans="9:9" ht="14.4" customHeight="1">
      <c r="I712" s="3"/>
    </row>
    <row r="713" spans="9:9" ht="14.4" customHeight="1">
      <c r="I713" s="3"/>
    </row>
    <row r="714" spans="9:9" ht="14.4" customHeight="1">
      <c r="I714" s="3"/>
    </row>
    <row r="715" spans="9:9" ht="14.4" customHeight="1">
      <c r="I715" s="3"/>
    </row>
    <row r="716" spans="9:9" ht="14.4" customHeight="1">
      <c r="I716" s="3"/>
    </row>
    <row r="717" spans="9:9" ht="14.4" customHeight="1">
      <c r="I717" s="3"/>
    </row>
    <row r="718" spans="9:9" ht="14.4" customHeight="1">
      <c r="I718" s="3"/>
    </row>
    <row r="719" spans="9:9" ht="14.4" customHeight="1">
      <c r="I719" s="3"/>
    </row>
    <row r="720" spans="9:9" ht="14.4" customHeight="1">
      <c r="I720" s="3"/>
    </row>
    <row r="721" spans="9:9" ht="14.4" customHeight="1">
      <c r="I721" s="3"/>
    </row>
    <row r="722" spans="9:9" ht="14.4" customHeight="1">
      <c r="I722" s="3"/>
    </row>
    <row r="723" spans="9:9" ht="14.4" customHeight="1">
      <c r="I723" s="3"/>
    </row>
    <row r="724" spans="9:9" ht="14.4" customHeight="1">
      <c r="I724" s="3"/>
    </row>
    <row r="725" spans="9:9" ht="14.4" customHeight="1">
      <c r="I725" s="3"/>
    </row>
    <row r="726" spans="9:9" ht="14.4" customHeight="1">
      <c r="I726" s="3"/>
    </row>
    <row r="727" spans="9:9" ht="14.4" customHeight="1">
      <c r="I727" s="3"/>
    </row>
    <row r="728" spans="9:9" ht="14.4" customHeight="1">
      <c r="I728" s="3"/>
    </row>
    <row r="729" spans="9:9" ht="14.4" customHeight="1">
      <c r="I729" s="3"/>
    </row>
    <row r="730" spans="9:9" ht="14.4" customHeight="1">
      <c r="I730" s="3"/>
    </row>
    <row r="731" spans="9:9" ht="14.4" customHeight="1">
      <c r="I731" s="3"/>
    </row>
    <row r="732" spans="9:9" ht="14.4" customHeight="1">
      <c r="I732" s="3"/>
    </row>
    <row r="733" spans="9:9" ht="14.4" customHeight="1">
      <c r="I733" s="3"/>
    </row>
    <row r="734" spans="9:9" ht="14.4" customHeight="1">
      <c r="I734" s="3"/>
    </row>
    <row r="735" spans="9:9" ht="14.4" customHeight="1">
      <c r="I735" s="3"/>
    </row>
    <row r="736" spans="9:9" ht="14.4" customHeight="1">
      <c r="I736" s="3"/>
    </row>
    <row r="737" spans="9:9" ht="14.4" customHeight="1">
      <c r="I737" s="3"/>
    </row>
    <row r="738" spans="9:9" ht="14.4" customHeight="1">
      <c r="I738" s="3"/>
    </row>
    <row r="739" spans="9:9" ht="14.4" customHeight="1">
      <c r="I739" s="3"/>
    </row>
    <row r="740" spans="9:9" ht="14.4" customHeight="1">
      <c r="I740" s="3"/>
    </row>
    <row r="741" spans="9:9" ht="14.4" customHeight="1">
      <c r="I741" s="3"/>
    </row>
    <row r="742" spans="9:9" ht="14.4" customHeight="1">
      <c r="I742" s="3"/>
    </row>
    <row r="743" spans="9:9" ht="14.4" customHeight="1">
      <c r="I743" s="3"/>
    </row>
    <row r="744" spans="9:9" ht="14.4" customHeight="1">
      <c r="I744" s="3"/>
    </row>
    <row r="745" spans="9:9" ht="14.4" customHeight="1">
      <c r="I745" s="3"/>
    </row>
    <row r="746" spans="9:9" ht="14.4" customHeight="1">
      <c r="I746" s="3"/>
    </row>
    <row r="747" spans="9:9" ht="14.4" customHeight="1">
      <c r="I747" s="3"/>
    </row>
    <row r="748" spans="9:9" ht="14.4" customHeight="1">
      <c r="I748" s="3"/>
    </row>
    <row r="749" spans="9:9" ht="14.4" customHeight="1">
      <c r="I749" s="3"/>
    </row>
    <row r="750" spans="9:9" ht="14.4" customHeight="1">
      <c r="I750" s="3"/>
    </row>
    <row r="751" spans="9:9" ht="14.4" customHeight="1">
      <c r="I751" s="3"/>
    </row>
    <row r="752" spans="9:9" ht="14.4" customHeight="1">
      <c r="I752" s="3"/>
    </row>
    <row r="753" spans="9:9" ht="14.4" customHeight="1">
      <c r="I753" s="3"/>
    </row>
    <row r="754" spans="9:9" ht="14.4" customHeight="1">
      <c r="I754" s="3"/>
    </row>
    <row r="755" spans="9:9" ht="14.4" customHeight="1">
      <c r="I755" s="3"/>
    </row>
    <row r="756" spans="9:9" ht="14.4" customHeight="1">
      <c r="I756" s="3"/>
    </row>
    <row r="757" spans="9:9" ht="14.4" customHeight="1">
      <c r="I757" s="3"/>
    </row>
    <row r="758" spans="9:9" ht="14.4" customHeight="1">
      <c r="I758" s="3"/>
    </row>
    <row r="759" spans="9:9" ht="14.4" customHeight="1">
      <c r="I759" s="3"/>
    </row>
    <row r="760" spans="9:9" ht="14.4" customHeight="1">
      <c r="I760" s="3"/>
    </row>
    <row r="761" spans="9:9" ht="14.4" customHeight="1">
      <c r="I761" s="3"/>
    </row>
    <row r="762" spans="9:9" ht="14.4" customHeight="1">
      <c r="I762" s="3"/>
    </row>
    <row r="763" spans="9:9" ht="14.4" customHeight="1">
      <c r="I763" s="3"/>
    </row>
    <row r="764" spans="9:9" ht="14.4" customHeight="1">
      <c r="I764" s="3"/>
    </row>
    <row r="765" spans="9:9" ht="14.4" customHeight="1">
      <c r="I765" s="3"/>
    </row>
    <row r="766" spans="9:9" ht="14.4" customHeight="1">
      <c r="I766" s="3"/>
    </row>
    <row r="767" spans="9:9" ht="14.4" customHeight="1">
      <c r="I767" s="3"/>
    </row>
    <row r="768" spans="9:9" ht="14.4" customHeight="1">
      <c r="I768" s="3"/>
    </row>
    <row r="769" spans="9:9" ht="14.4" customHeight="1">
      <c r="I769" s="3"/>
    </row>
    <row r="770" spans="9:9" ht="14.4" customHeight="1">
      <c r="I770" s="3"/>
    </row>
    <row r="771" spans="9:9" ht="14.4" customHeight="1">
      <c r="I771" s="3"/>
    </row>
    <row r="772" spans="9:9" ht="14.4" customHeight="1">
      <c r="I772" s="3"/>
    </row>
    <row r="773" spans="9:9" ht="14.4" customHeight="1">
      <c r="I773" s="3"/>
    </row>
    <row r="774" spans="9:9" ht="14.4" customHeight="1">
      <c r="I774" s="3"/>
    </row>
    <row r="775" spans="9:9" ht="14.4" customHeight="1">
      <c r="I775" s="3"/>
    </row>
    <row r="776" spans="9:9" ht="14.4" customHeight="1">
      <c r="I776" s="3"/>
    </row>
    <row r="777" spans="9:9" ht="14.4" customHeight="1">
      <c r="I777" s="3"/>
    </row>
    <row r="778" spans="9:9" ht="14.4" customHeight="1">
      <c r="I778" s="3"/>
    </row>
    <row r="779" spans="9:9" ht="14.4" customHeight="1">
      <c r="I779" s="3"/>
    </row>
    <row r="780" spans="9:9" ht="14.4" customHeight="1">
      <c r="I780" s="3"/>
    </row>
    <row r="781" spans="9:9" ht="14.4" customHeight="1">
      <c r="I781" s="3"/>
    </row>
    <row r="782" spans="9:9" ht="14.4" customHeight="1">
      <c r="I782" s="3"/>
    </row>
    <row r="783" spans="9:9" ht="14.4" customHeight="1">
      <c r="I783" s="3"/>
    </row>
    <row r="784" spans="9:9" ht="14.4" customHeight="1">
      <c r="I784" s="3"/>
    </row>
    <row r="785" spans="9:9" ht="14.4" customHeight="1">
      <c r="I785" s="3"/>
    </row>
    <row r="786" spans="9:9" ht="14.4" customHeight="1">
      <c r="I786" s="3"/>
    </row>
    <row r="787" spans="9:9" ht="14.4" customHeight="1">
      <c r="I787" s="3"/>
    </row>
    <row r="788" spans="9:9" ht="14.4" customHeight="1">
      <c r="I788" s="3"/>
    </row>
    <row r="789" spans="9:9" ht="14.4" customHeight="1">
      <c r="I789" s="3"/>
    </row>
    <row r="790" spans="9:9" ht="14.4" customHeight="1">
      <c r="I790" s="3"/>
    </row>
    <row r="791" spans="9:9" ht="14.4" customHeight="1">
      <c r="I791" s="3"/>
    </row>
    <row r="792" spans="9:9" ht="14.4" customHeight="1">
      <c r="I792" s="3"/>
    </row>
    <row r="793" spans="9:9" ht="14.4" customHeight="1">
      <c r="I793" s="3"/>
    </row>
    <row r="794" spans="9:9" ht="14.4" customHeight="1">
      <c r="I794" s="3"/>
    </row>
    <row r="795" spans="9:9" ht="14.4" customHeight="1">
      <c r="I795" s="3"/>
    </row>
    <row r="796" spans="9:9" ht="14.4" customHeight="1">
      <c r="I796" s="3"/>
    </row>
    <row r="797" spans="9:9" ht="14.4" customHeight="1">
      <c r="I797" s="3"/>
    </row>
    <row r="798" spans="9:9" ht="14.4" customHeight="1">
      <c r="I798" s="3"/>
    </row>
    <row r="799" spans="9:9" ht="14.4" customHeight="1">
      <c r="I799" s="3"/>
    </row>
    <row r="800" spans="9:9" ht="14.4" customHeight="1">
      <c r="I800" s="3"/>
    </row>
    <row r="801" spans="9:9" ht="14.4" customHeight="1">
      <c r="I801" s="3"/>
    </row>
    <row r="802" spans="9:9" ht="14.4" customHeight="1">
      <c r="I802" s="3"/>
    </row>
    <row r="803" spans="9:9" ht="14.4" customHeight="1">
      <c r="I803" s="3"/>
    </row>
    <row r="804" spans="9:9" ht="14.4" customHeight="1">
      <c r="I804" s="3"/>
    </row>
    <row r="805" spans="9:9" ht="14.4" customHeight="1">
      <c r="I805" s="3"/>
    </row>
    <row r="806" spans="9:9" ht="14.4" customHeight="1">
      <c r="I806" s="3"/>
    </row>
    <row r="807" spans="9:9" ht="14.4" customHeight="1">
      <c r="I807" s="3"/>
    </row>
    <row r="808" spans="9:9" ht="14.4" customHeight="1">
      <c r="I808" s="3"/>
    </row>
    <row r="809" spans="9:9" ht="14.4" customHeight="1">
      <c r="I809" s="3"/>
    </row>
    <row r="810" spans="9:9" ht="14.4" customHeight="1">
      <c r="I810" s="3"/>
    </row>
    <row r="811" spans="9:9" ht="14.4" customHeight="1">
      <c r="I811" s="3"/>
    </row>
    <row r="812" spans="9:9" ht="14.4" customHeight="1">
      <c r="I812" s="3"/>
    </row>
    <row r="813" spans="9:9" ht="14.4" customHeight="1">
      <c r="I813" s="3"/>
    </row>
    <row r="814" spans="9:9" ht="14.4" customHeight="1">
      <c r="I814" s="3"/>
    </row>
    <row r="815" spans="9:9" ht="14.4" customHeight="1">
      <c r="I815" s="3"/>
    </row>
    <row r="816" spans="9:9" ht="14.4" customHeight="1">
      <c r="I816" s="3"/>
    </row>
    <row r="817" spans="9:9" ht="14.4" customHeight="1">
      <c r="I817" s="3"/>
    </row>
    <row r="818" spans="9:9" ht="14.4" customHeight="1">
      <c r="I818" s="3"/>
    </row>
    <row r="819" spans="9:9" ht="14.4" customHeight="1">
      <c r="I819" s="3"/>
    </row>
    <row r="820" spans="9:9" ht="14.4" customHeight="1">
      <c r="I820" s="3"/>
    </row>
    <row r="821" spans="9:9" ht="14.4" customHeight="1">
      <c r="I821" s="3"/>
    </row>
    <row r="822" spans="9:9" ht="14.4" customHeight="1">
      <c r="I822" s="3"/>
    </row>
    <row r="823" spans="9:9" ht="14.4" customHeight="1">
      <c r="I823" s="3"/>
    </row>
    <row r="824" spans="9:9" ht="14.4" customHeight="1">
      <c r="I824" s="3"/>
    </row>
    <row r="825" spans="9:9" ht="14.4" customHeight="1">
      <c r="I825" s="3"/>
    </row>
    <row r="826" spans="9:9" ht="14.4" customHeight="1">
      <c r="I826" s="3"/>
    </row>
    <row r="827" spans="9:9" ht="14.4" customHeight="1">
      <c r="I827" s="3"/>
    </row>
    <row r="828" spans="9:9" ht="14.4" customHeight="1">
      <c r="I828" s="3"/>
    </row>
    <row r="829" spans="9:9" ht="14.4" customHeight="1">
      <c r="I829" s="3"/>
    </row>
    <row r="830" spans="9:9" ht="14.4" customHeight="1">
      <c r="I830" s="3"/>
    </row>
    <row r="831" spans="9:9" ht="14.4" customHeight="1">
      <c r="I831" s="3"/>
    </row>
    <row r="832" spans="9:9" ht="14.4" customHeight="1">
      <c r="I832" s="3"/>
    </row>
    <row r="833" spans="9:9" ht="14.4" customHeight="1">
      <c r="I833" s="3"/>
    </row>
    <row r="834" spans="9:9" ht="14.4" customHeight="1">
      <c r="I834" s="3"/>
    </row>
    <row r="835" spans="9:9" ht="14.4" customHeight="1">
      <c r="I835" s="3"/>
    </row>
    <row r="836" spans="9:9" ht="14.4" customHeight="1">
      <c r="I836" s="3"/>
    </row>
    <row r="837" spans="9:9" ht="14.4" customHeight="1">
      <c r="I837" s="3"/>
    </row>
    <row r="838" spans="9:9" ht="14.4" customHeight="1">
      <c r="I838" s="3"/>
    </row>
    <row r="839" spans="9:9" ht="14.4" customHeight="1">
      <c r="I839" s="3"/>
    </row>
    <row r="840" spans="9:9" ht="14.4" customHeight="1">
      <c r="I840" s="3"/>
    </row>
    <row r="841" spans="9:9" ht="14.4" customHeight="1">
      <c r="I841" s="3"/>
    </row>
    <row r="842" spans="9:9" ht="14.4" customHeight="1">
      <c r="I842" s="3"/>
    </row>
    <row r="843" spans="9:9" ht="14.4" customHeight="1">
      <c r="I843" s="3"/>
    </row>
    <row r="844" spans="9:9" ht="14.4" customHeight="1">
      <c r="I844" s="3"/>
    </row>
    <row r="845" spans="9:9" ht="14.4" customHeight="1">
      <c r="I845" s="3"/>
    </row>
    <row r="846" spans="9:9" ht="14.4" customHeight="1">
      <c r="I846" s="3"/>
    </row>
    <row r="847" spans="9:9" ht="14.4" customHeight="1">
      <c r="I847" s="3"/>
    </row>
    <row r="848" spans="9:9" ht="14.4" customHeight="1">
      <c r="I848" s="3"/>
    </row>
    <row r="849" spans="9:9" ht="14.4" customHeight="1">
      <c r="I849" s="3"/>
    </row>
    <row r="850" spans="9:9" ht="14.4" customHeight="1">
      <c r="I850" s="3"/>
    </row>
    <row r="851" spans="9:9" ht="14.4" customHeight="1">
      <c r="I851" s="3"/>
    </row>
    <row r="852" spans="9:9" ht="14.4" customHeight="1">
      <c r="I852" s="3"/>
    </row>
    <row r="853" spans="9:9" ht="14.4" customHeight="1">
      <c r="I853" s="3"/>
    </row>
    <row r="854" spans="9:9" ht="14.4" customHeight="1">
      <c r="I854" s="3"/>
    </row>
    <row r="855" spans="9:9" ht="14.4" customHeight="1">
      <c r="I855" s="3"/>
    </row>
    <row r="856" spans="9:9" ht="14.4" customHeight="1">
      <c r="I856" s="3"/>
    </row>
    <row r="857" spans="9:9" ht="14.4" customHeight="1">
      <c r="I857" s="3"/>
    </row>
    <row r="858" spans="9:9" ht="14.4" customHeight="1">
      <c r="I858" s="3"/>
    </row>
    <row r="859" spans="9:9" ht="14.4" customHeight="1">
      <c r="I859" s="3"/>
    </row>
    <row r="860" spans="9:9" ht="14.4" customHeight="1">
      <c r="I860" s="3"/>
    </row>
    <row r="861" spans="9:9" ht="14.4" customHeight="1">
      <c r="I861" s="3"/>
    </row>
    <row r="862" spans="9:9" ht="14.4" customHeight="1">
      <c r="I862" s="3"/>
    </row>
    <row r="863" spans="9:9" ht="14.4" customHeight="1">
      <c r="I863" s="3"/>
    </row>
    <row r="864" spans="9:9" ht="14.4" customHeight="1">
      <c r="I864" s="3"/>
    </row>
    <row r="865" spans="9:9" ht="14.4" customHeight="1">
      <c r="I865" s="3"/>
    </row>
    <row r="866" spans="9:9" ht="14.4" customHeight="1">
      <c r="I866" s="3"/>
    </row>
    <row r="867" spans="9:9" ht="14.4" customHeight="1">
      <c r="I867" s="3"/>
    </row>
    <row r="868" spans="9:9" ht="14.4" customHeight="1">
      <c r="I868" s="3"/>
    </row>
    <row r="869" spans="9:9" ht="14.4" customHeight="1">
      <c r="I869" s="3"/>
    </row>
    <row r="870" spans="9:9" ht="14.4" customHeight="1">
      <c r="I870" s="3"/>
    </row>
    <row r="871" spans="9:9" ht="14.4" customHeight="1">
      <c r="I871" s="3"/>
    </row>
    <row r="872" spans="9:9" ht="14.4" customHeight="1">
      <c r="I872" s="3"/>
    </row>
    <row r="873" spans="9:9" ht="14.4" customHeight="1">
      <c r="I873" s="3"/>
    </row>
    <row r="874" spans="9:9" ht="14.4" customHeight="1">
      <c r="I874" s="3"/>
    </row>
    <row r="875" spans="9:9" ht="14.4" customHeight="1">
      <c r="I875" s="3"/>
    </row>
    <row r="876" spans="9:9" ht="14.4" customHeight="1">
      <c r="I876" s="3"/>
    </row>
    <row r="877" spans="9:9" ht="14.4" customHeight="1">
      <c r="I877" s="3"/>
    </row>
    <row r="878" spans="9:9" ht="14.4" customHeight="1">
      <c r="I878" s="3"/>
    </row>
    <row r="879" spans="9:9" ht="14.4" customHeight="1">
      <c r="I879" s="3"/>
    </row>
    <row r="880" spans="9:9" ht="14.4" customHeight="1">
      <c r="I880" s="3"/>
    </row>
    <row r="881" spans="9:9" ht="14.4" customHeight="1">
      <c r="I881" s="3"/>
    </row>
    <row r="882" spans="9:9" ht="14.4" customHeight="1">
      <c r="I882" s="3"/>
    </row>
    <row r="883" spans="9:9" ht="14.4" customHeight="1">
      <c r="I883" s="3"/>
    </row>
    <row r="884" spans="9:9" ht="14.4" customHeight="1">
      <c r="I884" s="3"/>
    </row>
    <row r="885" spans="9:9" ht="14.4" customHeight="1">
      <c r="I885" s="3"/>
    </row>
    <row r="886" spans="9:9" ht="14.4" customHeight="1">
      <c r="I886" s="3"/>
    </row>
    <row r="887" spans="9:9" ht="14.4" customHeight="1">
      <c r="I887" s="3"/>
    </row>
    <row r="888" spans="9:9" ht="14.4" customHeight="1">
      <c r="I888" s="3"/>
    </row>
    <row r="889" spans="9:9" ht="14.4" customHeight="1">
      <c r="I889" s="3"/>
    </row>
    <row r="890" spans="9:9" ht="14.4" customHeight="1">
      <c r="I890" s="3"/>
    </row>
    <row r="891" spans="9:9" ht="14.4" customHeight="1">
      <c r="I891" s="3"/>
    </row>
    <row r="892" spans="9:9" ht="14.4" customHeight="1">
      <c r="I892" s="3"/>
    </row>
    <row r="893" spans="9:9" ht="14.4" customHeight="1">
      <c r="I893" s="3"/>
    </row>
    <row r="894" spans="9:9" ht="14.4" customHeight="1">
      <c r="I894" s="3"/>
    </row>
    <row r="895" spans="9:9" ht="14.4" customHeight="1">
      <c r="I895" s="3"/>
    </row>
    <row r="896" spans="9:9" ht="14.4" customHeight="1">
      <c r="I896" s="3"/>
    </row>
    <row r="897" spans="9:9" ht="14.4" customHeight="1">
      <c r="I897" s="3"/>
    </row>
    <row r="898" spans="9:9" ht="14.4" customHeight="1">
      <c r="I898" s="3"/>
    </row>
    <row r="899" spans="9:9" ht="14.4" customHeight="1">
      <c r="I899" s="3"/>
    </row>
    <row r="900" spans="9:9" ht="14.4" customHeight="1">
      <c r="I900" s="3"/>
    </row>
    <row r="901" spans="9:9" ht="14.4" customHeight="1">
      <c r="I901" s="3"/>
    </row>
    <row r="902" spans="9:9" ht="14.4" customHeight="1">
      <c r="I902" s="3"/>
    </row>
    <row r="903" spans="9:9" ht="14.4" customHeight="1">
      <c r="I903" s="3"/>
    </row>
    <row r="904" spans="9:9" ht="14.4" customHeight="1">
      <c r="I904" s="3"/>
    </row>
    <row r="905" spans="9:9" ht="14.4" customHeight="1">
      <c r="I905" s="3"/>
    </row>
    <row r="906" spans="9:9" ht="14.4" customHeight="1">
      <c r="I906" s="3"/>
    </row>
    <row r="907" spans="9:9" ht="14.4" customHeight="1">
      <c r="I907" s="3"/>
    </row>
    <row r="908" spans="9:9" ht="14.4" customHeight="1">
      <c r="I908" s="3"/>
    </row>
    <row r="909" spans="9:9" ht="14.4" customHeight="1">
      <c r="I909" s="3"/>
    </row>
    <row r="910" spans="9:9" ht="14.4" customHeight="1">
      <c r="I910" s="3"/>
    </row>
    <row r="911" spans="9:9" ht="14.4" customHeight="1">
      <c r="I911" s="3"/>
    </row>
    <row r="912" spans="9:9" ht="14.4" customHeight="1">
      <c r="I912" s="3"/>
    </row>
    <row r="913" spans="9:9" ht="14.4" customHeight="1">
      <c r="I913" s="3"/>
    </row>
    <row r="914" spans="9:9" ht="14.4" customHeight="1">
      <c r="I914" s="3"/>
    </row>
    <row r="915" spans="9:9" ht="14.4" customHeight="1">
      <c r="I915" s="3"/>
    </row>
    <row r="916" spans="9:9" ht="14.4" customHeight="1">
      <c r="I916" s="3"/>
    </row>
    <row r="917" spans="9:9" ht="14.4" customHeight="1">
      <c r="I917" s="3"/>
    </row>
    <row r="918" spans="9:9" ht="14.4" customHeight="1">
      <c r="I918" s="3"/>
    </row>
    <row r="919" spans="9:9" ht="14.4" customHeight="1">
      <c r="I919" s="3"/>
    </row>
    <row r="920" spans="9:9" ht="14.4" customHeight="1">
      <c r="I920" s="3"/>
    </row>
    <row r="921" spans="9:9" ht="14.4" customHeight="1">
      <c r="I921" s="3"/>
    </row>
    <row r="922" spans="9:9" ht="14.4" customHeight="1">
      <c r="I922" s="3"/>
    </row>
    <row r="923" spans="9:9" ht="14.4" customHeight="1">
      <c r="I923" s="3"/>
    </row>
    <row r="924" spans="9:9" ht="14.4" customHeight="1">
      <c r="I924" s="3"/>
    </row>
    <row r="925" spans="9:9" ht="14.4" customHeight="1">
      <c r="I925" s="3"/>
    </row>
    <row r="926" spans="9:9" ht="14.4" customHeight="1">
      <c r="I926" s="3"/>
    </row>
    <row r="927" spans="9:9" ht="14.4" customHeight="1">
      <c r="I927" s="3"/>
    </row>
    <row r="928" spans="9:9" ht="14.4" customHeight="1">
      <c r="I928" s="3"/>
    </row>
    <row r="929" spans="9:9" ht="14.4" customHeight="1">
      <c r="I929" s="3"/>
    </row>
    <row r="930" spans="9:9" ht="14.4" customHeight="1">
      <c r="I930" s="3"/>
    </row>
    <row r="931" spans="9:9" ht="14.4" customHeight="1">
      <c r="I931" s="3"/>
    </row>
    <row r="932" spans="9:9" ht="14.4" customHeight="1">
      <c r="I932" s="3"/>
    </row>
    <row r="933" spans="9:9" ht="14.4" customHeight="1">
      <c r="I933" s="3"/>
    </row>
    <row r="934" spans="9:9" ht="14.4" customHeight="1">
      <c r="I934" s="3"/>
    </row>
    <row r="935" spans="9:9" ht="14.4" customHeight="1">
      <c r="I935" s="3"/>
    </row>
    <row r="936" spans="9:9" ht="14.4" customHeight="1">
      <c r="I936" s="3"/>
    </row>
    <row r="937" spans="9:9" ht="14.4" customHeight="1">
      <c r="I937" s="3"/>
    </row>
    <row r="938" spans="9:9" ht="14.4" customHeight="1">
      <c r="I938" s="3"/>
    </row>
    <row r="939" spans="9:9" ht="14.4" customHeight="1">
      <c r="I939" s="3"/>
    </row>
    <row r="940" spans="9:9" ht="14.4" customHeight="1">
      <c r="I940" s="3"/>
    </row>
    <row r="941" spans="9:9" ht="14.4" customHeight="1">
      <c r="I941" s="3"/>
    </row>
    <row r="942" spans="9:9" ht="14.4" customHeight="1">
      <c r="I942" s="3"/>
    </row>
    <row r="943" spans="9:9" ht="14.4" customHeight="1">
      <c r="I943" s="3"/>
    </row>
    <row r="944" spans="9:9" ht="14.4" customHeight="1">
      <c r="I944" s="3"/>
    </row>
    <row r="945" spans="9:9" ht="14.4" customHeight="1">
      <c r="I945" s="3"/>
    </row>
    <row r="946" spans="9:9" ht="14.4" customHeight="1">
      <c r="I946" s="3"/>
    </row>
    <row r="947" spans="9:9" ht="14.4" customHeight="1">
      <c r="I947" s="3"/>
    </row>
    <row r="948" spans="9:9" ht="14.4" customHeight="1">
      <c r="I948" s="3"/>
    </row>
    <row r="949" spans="9:9" ht="14.4" customHeight="1">
      <c r="I949" s="3"/>
    </row>
    <row r="950" spans="9:9" ht="14.4" customHeight="1">
      <c r="I950" s="3"/>
    </row>
    <row r="951" spans="9:9" ht="14.4" customHeight="1">
      <c r="I951" s="3"/>
    </row>
    <row r="952" spans="9:9" ht="14.4" customHeight="1">
      <c r="I952" s="3"/>
    </row>
    <row r="953" spans="9:9" ht="14.4" customHeight="1">
      <c r="I953" s="3"/>
    </row>
    <row r="954" spans="9:9" ht="14.4" customHeight="1">
      <c r="I954" s="3"/>
    </row>
    <row r="955" spans="9:9" ht="14.4" customHeight="1">
      <c r="I955" s="3"/>
    </row>
    <row r="956" spans="9:9" ht="14.4" customHeight="1">
      <c r="I956" s="3"/>
    </row>
    <row r="957" spans="9:9" ht="14.4" customHeight="1">
      <c r="I957" s="3"/>
    </row>
    <row r="958" spans="9:9" ht="14.4" customHeight="1">
      <c r="I958" s="3"/>
    </row>
    <row r="959" spans="9:9" ht="14.4" customHeight="1">
      <c r="I959" s="3"/>
    </row>
    <row r="960" spans="9:9" ht="14.4" customHeight="1">
      <c r="I960" s="3"/>
    </row>
    <row r="961" spans="9:9" ht="14.4" customHeight="1">
      <c r="I961" s="3"/>
    </row>
    <row r="962" spans="9:9" ht="14.4" customHeight="1">
      <c r="I962" s="3"/>
    </row>
    <row r="963" spans="9:9" ht="14.4" customHeight="1">
      <c r="I963" s="3"/>
    </row>
    <row r="964" spans="9:9" ht="14.4" customHeight="1">
      <c r="I964" s="3"/>
    </row>
    <row r="965" spans="9:9" ht="14.4" customHeight="1">
      <c r="I965" s="3"/>
    </row>
    <row r="966" spans="9:9" ht="14.4" customHeight="1">
      <c r="I966" s="3"/>
    </row>
    <row r="967" spans="9:9" ht="14.4" customHeight="1">
      <c r="I967" s="3"/>
    </row>
    <row r="968" spans="9:9" ht="14.4" customHeight="1">
      <c r="I968" s="3"/>
    </row>
    <row r="969" spans="9:9" ht="14.4" customHeight="1">
      <c r="I969" s="3"/>
    </row>
    <row r="970" spans="9:9" ht="14.4" customHeight="1">
      <c r="I970" s="3"/>
    </row>
    <row r="971" spans="9:9" ht="14.4" customHeight="1">
      <c r="I971" s="3"/>
    </row>
    <row r="972" spans="9:9" ht="14.4" customHeight="1">
      <c r="I972" s="3"/>
    </row>
    <row r="973" spans="9:9" ht="14.4" customHeight="1">
      <c r="I973" s="3"/>
    </row>
    <row r="974" spans="9:9" ht="14.4" customHeight="1">
      <c r="I974" s="3"/>
    </row>
    <row r="975" spans="9:9" ht="14.4" customHeight="1">
      <c r="I975" s="3"/>
    </row>
    <row r="976" spans="9:9" ht="14.4" customHeight="1">
      <c r="I976" s="3"/>
    </row>
    <row r="977" spans="9:9" ht="14.4" customHeight="1">
      <c r="I977" s="3"/>
    </row>
    <row r="978" spans="9:9" ht="14.4" customHeight="1">
      <c r="I978" s="3"/>
    </row>
    <row r="979" spans="9:9" ht="14.4" customHeight="1">
      <c r="I979" s="3"/>
    </row>
    <row r="980" spans="9:9" ht="14.4" customHeight="1">
      <c r="I980" s="3"/>
    </row>
    <row r="981" spans="9:9" ht="14.4" customHeight="1">
      <c r="I981" s="3"/>
    </row>
    <row r="982" spans="9:9" ht="14.4" customHeight="1">
      <c r="I982" s="3"/>
    </row>
    <row r="983" spans="9:9" ht="14.4" customHeight="1">
      <c r="I983" s="3"/>
    </row>
    <row r="984" spans="9:9" ht="14.4" customHeight="1">
      <c r="I984" s="3"/>
    </row>
    <row r="985" spans="9:9" ht="14.4" customHeight="1">
      <c r="I985" s="3"/>
    </row>
    <row r="986" spans="9:9" ht="14.4" customHeight="1">
      <c r="I986" s="3"/>
    </row>
    <row r="987" spans="9:9" ht="14.4" customHeight="1">
      <c r="I987" s="3"/>
    </row>
    <row r="988" spans="9:9" ht="14.4" customHeight="1">
      <c r="I988" s="3"/>
    </row>
    <row r="989" spans="9:9" ht="14.4" customHeight="1">
      <c r="I989" s="3"/>
    </row>
    <row r="990" spans="9:9" ht="14.4" customHeight="1">
      <c r="I990" s="3"/>
    </row>
    <row r="991" spans="9:9" ht="14.4" customHeight="1">
      <c r="I991" s="3"/>
    </row>
    <row r="992" spans="9:9" ht="14.4" customHeight="1">
      <c r="I992" s="3"/>
    </row>
    <row r="993" spans="9:9" ht="14.4" customHeight="1">
      <c r="I993" s="3"/>
    </row>
    <row r="994" spans="9:9" ht="14.4" customHeight="1">
      <c r="I994" s="3"/>
    </row>
    <row r="995" spans="9:9" ht="14.4" customHeight="1">
      <c r="I995" s="3"/>
    </row>
    <row r="996" spans="9:9" ht="14.4" customHeight="1">
      <c r="I996" s="3"/>
    </row>
    <row r="997" spans="9:9" ht="14.4" customHeight="1">
      <c r="I997" s="3"/>
    </row>
    <row r="998" spans="9:9" ht="14.4" customHeight="1">
      <c r="I998" s="3"/>
    </row>
    <row r="999" spans="9:9" ht="14.4" customHeight="1">
      <c r="I999" s="3"/>
    </row>
    <row r="1000" spans="9:9" ht="14.4" customHeight="1">
      <c r="I1000" s="3"/>
    </row>
    <row r="1001" spans="9:9" ht="14.4" customHeight="1">
      <c r="I1001" s="3"/>
    </row>
    <row r="1002" spans="9:9" ht="14.4" customHeight="1">
      <c r="I1002" s="3"/>
    </row>
    <row r="1003" spans="9:9" ht="14.4" customHeight="1">
      <c r="I1003" s="3"/>
    </row>
    <row r="1004" spans="9:9" ht="14.4" customHeight="1">
      <c r="I1004" s="3"/>
    </row>
    <row r="1005" spans="9:9" ht="14.4" customHeight="1">
      <c r="I1005" s="3"/>
    </row>
    <row r="1006" spans="9:9" ht="14.4" customHeight="1">
      <c r="I1006" s="3"/>
    </row>
    <row r="1007" spans="9:9" ht="14.4" customHeight="1">
      <c r="I1007" s="3"/>
    </row>
    <row r="1008" spans="9:9" ht="14.4" customHeight="1">
      <c r="I1008" s="3"/>
    </row>
    <row r="1009" spans="9:9" ht="14.4" customHeight="1">
      <c r="I1009" s="3"/>
    </row>
    <row r="1010" spans="9:9" ht="14.4" customHeight="1">
      <c r="I1010" s="3"/>
    </row>
    <row r="1011" spans="9:9" ht="14.4" customHeight="1">
      <c r="I1011" s="3"/>
    </row>
    <row r="1012" spans="9:9" ht="14.4" customHeight="1">
      <c r="I1012" s="3"/>
    </row>
    <row r="1013" spans="9:9" ht="14.4" customHeight="1">
      <c r="I1013" s="3"/>
    </row>
    <row r="1014" spans="9:9" ht="14.4" customHeight="1">
      <c r="I1014" s="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AE6F-57B5-4478-A27E-9EADABD81E96}">
  <dimension ref="B2:C55"/>
  <sheetViews>
    <sheetView workbookViewId="0">
      <selection activeCell="B17" sqref="B17:C22"/>
    </sheetView>
  </sheetViews>
  <sheetFormatPr defaultRowHeight="13.2"/>
  <cols>
    <col min="2" max="2" width="9.88671875" style="47" customWidth="1"/>
    <col min="3" max="3" width="15" style="47" customWidth="1"/>
  </cols>
  <sheetData>
    <row r="2" spans="2:3" ht="13.8">
      <c r="B2" s="48" t="s">
        <v>2</v>
      </c>
      <c r="C2" s="48" t="s">
        <v>3</v>
      </c>
    </row>
    <row r="3" spans="2:3" ht="13.8">
      <c r="B3" s="48" t="s">
        <v>60</v>
      </c>
      <c r="C3" s="48" t="s">
        <v>29</v>
      </c>
    </row>
    <row r="4" spans="2:3" ht="13.8">
      <c r="B4" s="14" t="s">
        <v>6</v>
      </c>
      <c r="C4" s="14" t="s">
        <v>7</v>
      </c>
    </row>
    <row r="5" spans="2:3" ht="13.8">
      <c r="B5" s="14" t="s">
        <v>6</v>
      </c>
      <c r="C5" s="14" t="s">
        <v>11</v>
      </c>
    </row>
    <row r="6" spans="2:3" ht="13.8">
      <c r="B6" s="14" t="s">
        <v>6</v>
      </c>
      <c r="C6" s="14" t="s">
        <v>71</v>
      </c>
    </row>
    <row r="7" spans="2:3" ht="13.8">
      <c r="B7" s="14" t="s">
        <v>6</v>
      </c>
      <c r="C7" s="14" t="s">
        <v>74</v>
      </c>
    </row>
    <row r="8" spans="2:3" ht="13.8">
      <c r="B8" s="14" t="s">
        <v>12</v>
      </c>
      <c r="C8" s="14" t="s">
        <v>13</v>
      </c>
    </row>
    <row r="9" spans="2:3" ht="13.8">
      <c r="B9" s="14" t="s">
        <v>12</v>
      </c>
      <c r="C9" s="14" t="s">
        <v>14</v>
      </c>
    </row>
    <row r="10" spans="2:3" ht="13.8">
      <c r="B10" s="14" t="s">
        <v>12</v>
      </c>
      <c r="C10" s="14" t="s">
        <v>15</v>
      </c>
    </row>
    <row r="11" spans="2:3" ht="14.4">
      <c r="B11" s="14" t="s">
        <v>12</v>
      </c>
      <c r="C11" s="33" t="s">
        <v>130</v>
      </c>
    </row>
    <row r="12" spans="2:3" ht="13.8">
      <c r="B12" s="14" t="s">
        <v>12</v>
      </c>
      <c r="C12" s="14" t="s">
        <v>16</v>
      </c>
    </row>
    <row r="13" spans="2:3" ht="13.8">
      <c r="B13" s="14" t="s">
        <v>12</v>
      </c>
      <c r="C13" s="14" t="s">
        <v>17</v>
      </c>
    </row>
    <row r="14" spans="2:3" ht="13.8">
      <c r="B14" s="14" t="s">
        <v>12</v>
      </c>
      <c r="C14" s="14" t="s">
        <v>27</v>
      </c>
    </row>
    <row r="15" spans="2:3" ht="13.8">
      <c r="B15" s="14" t="s">
        <v>12</v>
      </c>
      <c r="C15" s="14" t="s">
        <v>113</v>
      </c>
    </row>
    <row r="16" spans="2:3" ht="13.8">
      <c r="B16" s="14" t="s">
        <v>12</v>
      </c>
      <c r="C16" s="14" t="s">
        <v>118</v>
      </c>
    </row>
    <row r="17" spans="2:3" ht="13.8">
      <c r="B17" s="14" t="s">
        <v>18</v>
      </c>
      <c r="C17" s="14" t="s">
        <v>19</v>
      </c>
    </row>
    <row r="18" spans="2:3" ht="13.8">
      <c r="B18" s="14" t="s">
        <v>18</v>
      </c>
      <c r="C18" s="14" t="s">
        <v>20</v>
      </c>
    </row>
    <row r="19" spans="2:3" ht="13.8">
      <c r="B19" s="14" t="s">
        <v>18</v>
      </c>
      <c r="C19" s="14" t="s">
        <v>21</v>
      </c>
    </row>
    <row r="20" spans="2:3" ht="13.8">
      <c r="B20" s="14" t="s">
        <v>18</v>
      </c>
      <c r="C20" s="14" t="s">
        <v>22</v>
      </c>
    </row>
    <row r="21" spans="2:3" ht="13.8">
      <c r="B21" s="14" t="s">
        <v>18</v>
      </c>
      <c r="C21" s="14" t="s">
        <v>24</v>
      </c>
    </row>
    <row r="22" spans="2:3" ht="14.4">
      <c r="B22" s="14" t="s">
        <v>18</v>
      </c>
      <c r="C22" s="33" t="s">
        <v>169</v>
      </c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상품_251030</vt:lpstr>
      <vt:lpstr>상품</vt:lpstr>
      <vt:lpstr>상품 (2)</vt:lpstr>
      <vt:lpstr>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상민 김</cp:lastModifiedBy>
  <dcterms:modified xsi:type="dcterms:W3CDTF">2025-11-02T23:46:00Z</dcterms:modified>
</cp:coreProperties>
</file>