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1CB008D0-0824-41A8-B1BF-88FFB542B41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4" l="1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4" i="4"/>
  <c r="I71" i="4"/>
  <c r="I57" i="4"/>
  <c r="I41" i="4"/>
  <c r="I43" i="4"/>
  <c r="I67" i="4"/>
  <c r="I127" i="4"/>
  <c r="I56" i="4"/>
  <c r="I120" i="4"/>
  <c r="I47" i="4"/>
  <c r="I51" i="4"/>
  <c r="I45" i="4"/>
  <c r="I52" i="4"/>
  <c r="I54" i="4"/>
  <c r="I72" i="4"/>
  <c r="I64" i="4"/>
  <c r="I69" i="4"/>
  <c r="I70" i="4"/>
  <c r="I46" i="4"/>
  <c r="I60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119" i="4"/>
  <c r="I121" i="4"/>
  <c r="I122" i="4"/>
  <c r="I124" i="4"/>
  <c r="I125" i="4"/>
  <c r="I126" i="4"/>
  <c r="I128" i="4"/>
  <c r="I129" i="4"/>
  <c r="I130" i="4"/>
  <c r="I131" i="4"/>
  <c r="I135" i="4"/>
  <c r="I136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49" i="4"/>
  <c r="I63" i="4"/>
  <c r="I48" i="4"/>
  <c r="I61" i="4"/>
  <c r="I123" i="4"/>
  <c r="I42" i="4"/>
  <c r="I58" i="4"/>
  <c r="I50" i="4"/>
  <c r="I53" i="4"/>
  <c r="I55" i="4"/>
  <c r="I59" i="4"/>
  <c r="I62" i="4"/>
  <c r="I66" i="4"/>
  <c r="I132" i="4"/>
  <c r="I133" i="4"/>
  <c r="I134" i="4"/>
  <c r="I65" i="4"/>
  <c r="I68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4" i="4"/>
  <c r="H93" i="4"/>
  <c r="H191" i="4"/>
  <c r="H192" i="4"/>
  <c r="H193" i="4"/>
  <c r="H94" i="4"/>
  <c r="H42" i="4"/>
  <c r="H194" i="4"/>
  <c r="H195" i="4"/>
  <c r="H95" i="4"/>
  <c r="H196" i="4"/>
  <c r="H197" i="4"/>
  <c r="H96" i="4"/>
  <c r="H198" i="4"/>
  <c r="H97" i="4"/>
  <c r="H98" i="4"/>
  <c r="H99" i="4"/>
  <c r="H100" i="4"/>
  <c r="H101" i="4"/>
  <c r="H102" i="4"/>
  <c r="H103" i="4"/>
  <c r="H104" i="4"/>
  <c r="H105" i="4"/>
  <c r="H199" i="4"/>
  <c r="H46" i="4"/>
  <c r="H58" i="4"/>
  <c r="H48" i="4"/>
  <c r="H49" i="4"/>
  <c r="H50" i="4"/>
  <c r="H53" i="4"/>
  <c r="H55" i="4"/>
  <c r="H118" i="4"/>
  <c r="H106" i="4"/>
  <c r="H200" i="4"/>
  <c r="H64" i="4"/>
  <c r="H107" i="4"/>
  <c r="H108" i="4"/>
  <c r="H59" i="4"/>
  <c r="H61" i="4"/>
  <c r="H62" i="4"/>
  <c r="H63" i="4"/>
  <c r="H201" i="4"/>
  <c r="H65" i="4"/>
  <c r="H66" i="4"/>
  <c r="H202" i="4"/>
  <c r="H109" i="4"/>
  <c r="H68" i="4"/>
  <c r="H203" i="4"/>
  <c r="H110" i="4"/>
  <c r="H111" i="4"/>
  <c r="H204" i="4"/>
  <c r="H205" i="4"/>
  <c r="H69" i="4"/>
  <c r="H70" i="4"/>
  <c r="H112" i="4"/>
  <c r="H206" i="4"/>
  <c r="H113" i="4"/>
  <c r="H114" i="4"/>
  <c r="H207" i="4"/>
  <c r="H115" i="4"/>
  <c r="H72" i="4"/>
  <c r="H116" i="4"/>
  <c r="H117" i="4"/>
  <c r="H137" i="4"/>
  <c r="H138" i="4"/>
  <c r="H139" i="4"/>
  <c r="H208" i="4"/>
  <c r="H209" i="4"/>
  <c r="H210" i="4"/>
  <c r="H140" i="4"/>
  <c r="H60" i="4"/>
  <c r="H211" i="4"/>
  <c r="H212" i="4"/>
  <c r="H141" i="4"/>
  <c r="H73" i="4"/>
  <c r="H75" i="4"/>
  <c r="H74" i="4"/>
  <c r="H76" i="4"/>
  <c r="H213" i="4"/>
  <c r="H142" i="4"/>
  <c r="H143" i="4"/>
  <c r="H144" i="4"/>
  <c r="H214" i="4"/>
  <c r="H77" i="4"/>
  <c r="H78" i="4"/>
  <c r="H79" i="4"/>
  <c r="H80" i="4"/>
  <c r="H215" i="4"/>
  <c r="H81" i="4"/>
  <c r="H82" i="4"/>
  <c r="H145" i="4"/>
  <c r="H216" i="4"/>
  <c r="H217" i="4"/>
  <c r="H146" i="4"/>
  <c r="H83" i="4"/>
  <c r="H84" i="4"/>
  <c r="H147" i="4"/>
  <c r="H148" i="4"/>
  <c r="H149" i="4"/>
  <c r="H85" i="4"/>
  <c r="H86" i="4"/>
  <c r="H87" i="4"/>
  <c r="H88" i="4"/>
  <c r="H89" i="4"/>
  <c r="H90" i="4"/>
  <c r="H218" i="4"/>
  <c r="H91" i="4"/>
  <c r="H92" i="4"/>
  <c r="H119" i="4"/>
  <c r="H150" i="4"/>
  <c r="H219" i="4"/>
  <c r="H121" i="4"/>
  <c r="H151" i="4"/>
  <c r="H220" i="4"/>
  <c r="H221" i="4"/>
  <c r="H152" i="4"/>
  <c r="H222" i="4"/>
  <c r="H122" i="4"/>
  <c r="H124" i="4"/>
  <c r="H125" i="4"/>
  <c r="H126" i="4"/>
  <c r="H134" i="4"/>
  <c r="H128" i="4"/>
  <c r="H132" i="4"/>
  <c r="H133" i="4"/>
  <c r="H153" i="4"/>
  <c r="H154" i="4"/>
  <c r="H155" i="4"/>
  <c r="H156" i="4"/>
  <c r="H157" i="4"/>
  <c r="H158" i="4"/>
  <c r="H159" i="4"/>
  <c r="H160" i="4"/>
  <c r="H161" i="4"/>
  <c r="H162" i="4"/>
  <c r="H223" i="4"/>
  <c r="H224" i="4"/>
  <c r="H225" i="4"/>
  <c r="H163" i="4"/>
  <c r="H164" i="4"/>
  <c r="H165" i="4"/>
  <c r="H166" i="4"/>
  <c r="H226" i="4"/>
  <c r="H167" i="4"/>
  <c r="H168" i="4"/>
  <c r="H169" i="4"/>
  <c r="H170" i="4"/>
  <c r="H171" i="4"/>
  <c r="H172" i="4"/>
  <c r="H173" i="4"/>
  <c r="H129" i="4"/>
  <c r="H174" i="4"/>
  <c r="H227" i="4"/>
  <c r="H175" i="4"/>
  <c r="H228" i="4"/>
  <c r="H176" i="4"/>
  <c r="H130" i="4"/>
  <c r="H177" i="4"/>
  <c r="H178" i="4"/>
  <c r="H179" i="4"/>
  <c r="H180" i="4"/>
  <c r="H181" i="4"/>
  <c r="H182" i="4"/>
  <c r="H183" i="4"/>
  <c r="H229" i="4"/>
  <c r="H184" i="4"/>
  <c r="H185" i="4"/>
  <c r="H186" i="4"/>
  <c r="H136" i="4"/>
  <c r="H131" i="4"/>
  <c r="H135" i="4"/>
  <c r="H187" i="4"/>
  <c r="H188" i="4"/>
  <c r="H230" i="4"/>
  <c r="H189" i="4"/>
  <c r="H190" i="4"/>
  <c r="H231" i="4"/>
  <c r="H54" i="4"/>
  <c r="H123" i="4"/>
  <c r="H52" i="4"/>
  <c r="H45" i="4"/>
  <c r="H51" i="4"/>
  <c r="H47" i="4"/>
  <c r="H120" i="4"/>
  <c r="H56" i="4"/>
  <c r="H127" i="4"/>
  <c r="H67" i="4"/>
  <c r="H43" i="4"/>
  <c r="H41" i="4"/>
  <c r="H57" i="4"/>
  <c r="H71" i="4"/>
  <c r="H44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23" i="4" l="1"/>
  <c r="K56" i="4"/>
  <c r="K55" i="4"/>
  <c r="K9" i="4"/>
  <c r="K18" i="4"/>
  <c r="K103" i="4"/>
  <c r="K53" i="4"/>
  <c r="K25" i="4"/>
  <c r="K36" i="4"/>
  <c r="K54" i="4"/>
  <c r="K61" i="4"/>
  <c r="K48" i="4"/>
  <c r="K59" i="4"/>
  <c r="K98" i="4"/>
  <c r="K127" i="4"/>
  <c r="K119" i="4"/>
  <c r="K111" i="4"/>
  <c r="K209" i="4"/>
  <c r="K57" i="4"/>
  <c r="K69" i="4"/>
  <c r="K200" i="4"/>
  <c r="K118" i="4"/>
  <c r="K184" i="4"/>
  <c r="K125" i="4"/>
  <c r="K117" i="4"/>
  <c r="K109" i="4"/>
  <c r="K79" i="4"/>
  <c r="K58" i="4"/>
  <c r="K70" i="4"/>
  <c r="K231" i="4"/>
  <c r="K42" i="4"/>
  <c r="K230" i="4"/>
  <c r="K110" i="4"/>
  <c r="K126" i="4"/>
  <c r="K132" i="4"/>
  <c r="K94" i="4"/>
  <c r="K84" i="4"/>
  <c r="K92" i="4"/>
  <c r="K63" i="4"/>
  <c r="K124" i="4"/>
  <c r="K116" i="4"/>
  <c r="K108" i="4"/>
  <c r="K83" i="4"/>
  <c r="K47" i="4"/>
  <c r="K141" i="4"/>
  <c r="K50" i="4"/>
  <c r="K202" i="4"/>
  <c r="K181" i="4"/>
  <c r="K157" i="4"/>
  <c r="K101" i="4"/>
  <c r="K87" i="4"/>
  <c r="K91" i="4"/>
  <c r="K62" i="4"/>
  <c r="K41" i="4"/>
  <c r="K216" i="4"/>
  <c r="K139" i="4"/>
  <c r="K28" i="4"/>
  <c r="K208" i="4"/>
  <c r="K147" i="4"/>
  <c r="K123" i="4"/>
  <c r="K115" i="4"/>
  <c r="K107" i="4"/>
  <c r="K77" i="4"/>
  <c r="K133" i="4"/>
  <c r="K229" i="4"/>
  <c r="K201" i="4"/>
  <c r="K193" i="4"/>
  <c r="K180" i="4"/>
  <c r="K171" i="4"/>
  <c r="K76" i="4"/>
  <c r="K153" i="4"/>
  <c r="K192" i="4"/>
  <c r="K148" i="4"/>
  <c r="K75" i="4"/>
  <c r="K11" i="4"/>
  <c r="K31" i="4"/>
  <c r="K45" i="4"/>
  <c r="K158" i="4"/>
  <c r="K95" i="4"/>
  <c r="K90" i="4"/>
  <c r="K228" i="4"/>
  <c r="K165" i="4"/>
  <c r="K146" i="4"/>
  <c r="K122" i="4"/>
  <c r="K114" i="4"/>
  <c r="K106" i="4"/>
  <c r="K102" i="4"/>
  <c r="K68" i="4"/>
  <c r="K131" i="4"/>
  <c r="K65" i="4"/>
  <c r="K10" i="4"/>
  <c r="K35" i="4"/>
  <c r="K199" i="4"/>
  <c r="K170" i="4"/>
  <c r="K215" i="4"/>
  <c r="K138" i="4"/>
  <c r="K152" i="4"/>
  <c r="K185" i="4"/>
  <c r="K6" i="4"/>
  <c r="K82" i="4"/>
  <c r="K97" i="4"/>
  <c r="K156" i="4"/>
  <c r="K179" i="4"/>
  <c r="K129" i="4"/>
  <c r="K121" i="4"/>
  <c r="K113" i="4"/>
  <c r="K105" i="4"/>
  <c r="K100" i="4"/>
  <c r="K93" i="4"/>
  <c r="K85" i="4"/>
  <c r="K60" i="4"/>
  <c r="K130" i="4"/>
  <c r="K86" i="4"/>
  <c r="K73" i="4"/>
  <c r="K226" i="4"/>
  <c r="K13" i="4"/>
  <c r="K154" i="4"/>
  <c r="K14" i="4"/>
  <c r="K128" i="4"/>
  <c r="K120" i="4"/>
  <c r="K112" i="4"/>
  <c r="K104" i="4"/>
  <c r="K227" i="4"/>
  <c r="K78" i="4"/>
  <c r="K219" i="4"/>
  <c r="K188" i="4"/>
  <c r="K134" i="4"/>
  <c r="K51" i="4"/>
  <c r="K29" i="4"/>
  <c r="K136" i="4"/>
  <c r="K155" i="4"/>
  <c r="K187" i="4"/>
  <c r="K218" i="4"/>
  <c r="K167" i="4"/>
  <c r="K142" i="4"/>
  <c r="K72" i="4"/>
  <c r="K64" i="4"/>
  <c r="K213" i="4"/>
  <c r="K32" i="4"/>
  <c r="K4" i="4"/>
  <c r="K166" i="4"/>
  <c r="K203" i="4"/>
  <c r="K151" i="4"/>
  <c r="K194" i="4"/>
  <c r="K182" i="4"/>
  <c r="K172" i="4"/>
  <c r="K96" i="4"/>
  <c r="K88" i="4"/>
  <c r="K7" i="4"/>
  <c r="K214" i="4"/>
  <c r="K37" i="4"/>
  <c r="K222" i="4"/>
  <c r="K211" i="4"/>
  <c r="K198" i="4"/>
  <c r="K189" i="4"/>
  <c r="K178" i="4"/>
  <c r="K169" i="4"/>
  <c r="K163" i="4"/>
  <c r="K144" i="4"/>
  <c r="K99" i="4"/>
  <c r="K74" i="4"/>
  <c r="K66" i="4"/>
  <c r="K52" i="4"/>
  <c r="K16" i="4"/>
  <c r="K197" i="4"/>
  <c r="K176" i="4"/>
  <c r="K168" i="4"/>
  <c r="K162" i="4"/>
  <c r="K143" i="4"/>
  <c r="K8" i="4"/>
  <c r="K43" i="4"/>
  <c r="K196" i="4"/>
  <c r="K186" i="4"/>
  <c r="K175" i="4"/>
  <c r="K150" i="4"/>
  <c r="K81" i="4"/>
  <c r="K17" i="4"/>
  <c r="K33" i="4"/>
  <c r="K220" i="4"/>
  <c r="K206" i="4"/>
  <c r="K195" i="4"/>
  <c r="K173" i="4"/>
  <c r="K160" i="4"/>
  <c r="K149" i="4"/>
  <c r="K140" i="4"/>
  <c r="K89" i="4"/>
  <c r="K80" i="4"/>
  <c r="K71" i="4"/>
  <c r="K49" i="4"/>
  <c r="K24" i="4"/>
  <c r="K204" i="4"/>
  <c r="K39" i="4"/>
  <c r="K21" i="4"/>
  <c r="K5" i="4"/>
  <c r="K212" i="4"/>
  <c r="K191" i="4"/>
  <c r="K164" i="4"/>
  <c r="K145" i="4"/>
  <c r="K135" i="4"/>
  <c r="K67" i="4"/>
  <c r="K46" i="4"/>
  <c r="K207" i="4"/>
  <c r="K174" i="4"/>
  <c r="K161" i="4"/>
  <c r="K210" i="4"/>
  <c r="K27" i="4"/>
  <c r="K225" i="4"/>
  <c r="K217" i="4"/>
  <c r="K22" i="4"/>
  <c r="K34" i="4"/>
  <c r="K224" i="4"/>
  <c r="K159" i="4"/>
  <c r="K223" i="4"/>
  <c r="K177" i="4"/>
  <c r="K40" i="4"/>
  <c r="K19" i="4"/>
  <c r="K183" i="4"/>
  <c r="K137" i="4"/>
  <c r="K221" i="4"/>
  <c r="K205" i="4"/>
  <c r="K190" i="4"/>
  <c r="K15" i="4"/>
  <c r="K44" i="4"/>
  <c r="K12" i="4"/>
  <c r="K38" i="4"/>
  <c r="K20" i="4"/>
  <c r="K30" i="4"/>
  <c r="K26" i="4"/>
</calcChain>
</file>

<file path=xl/sharedStrings.xml><?xml version="1.0" encoding="utf-8"?>
<sst xmlns="http://schemas.openxmlformats.org/spreadsheetml/2006/main" count="1297" uniqueCount="394">
  <si>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</si>
  <si>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</si>
  <si>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</si>
  <si>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</si>
  <si>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</si>
  <si>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</si>
  <si>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</si>
  <si>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</si>
  <si>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</si>
  <si>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</si>
  <si>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</si>
  <si>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</si>
  <si>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</si>
  <si>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</si>
  <si>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</si>
  <si>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</si>
  <si>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</si>
  <si>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</si>
  <si>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</si>
  <si>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</si>
  <si>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</si>
  <si>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</si>
  <si>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</si>
  <si>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</si>
  <si>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</si>
  <si>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</si>
  <si>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</si>
  <si>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</si>
  <si>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</si>
  <si>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</si>
  <si>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</si>
  <si>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</si>
  <si>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</si>
  <si>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</si>
  <si>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</si>
  <si>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</si>
  <si>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</si>
  <si>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</si>
  <si>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</si>
  <si>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</si>
  <si>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</si>
  <si>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</si>
  <si>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</si>
  <si>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</si>
  <si>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</si>
  <si>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</si>
  <si>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</si>
  <si>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</si>
  <si>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</si>
  <si>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</si>
  <si>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</si>
  <si>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</si>
  <si>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</si>
  <si>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</si>
  <si>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</si>
  <si>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</si>
  <si>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</si>
  <si>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</si>
  <si>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</si>
  <si>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</si>
  <si>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</si>
  <si>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</si>
  <si>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</si>
  <si>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</si>
  <si>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</si>
  <si>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</si>
  <si>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</si>
  <si>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</si>
  <si>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</si>
  <si>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</si>
  <si>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</si>
  <si>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</si>
  <si>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</si>
  <si>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</si>
  <si>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</si>
  <si>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</si>
  <si>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</si>
  <si>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</si>
  <si>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</si>
  <si>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</si>
  <si>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</si>
  <si>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</si>
  <si>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</si>
  <si>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</si>
  <si>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</si>
  <si>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</si>
  <si>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</si>
  <si>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</si>
  <si>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</si>
  <si>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</si>
  <si>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</si>
  <si>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</si>
  <si>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</si>
  <si>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</si>
  <si>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</si>
  <si>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</si>
  <si>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</si>
  <si>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</si>
  <si>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</si>
  <si>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</si>
  <si>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</si>
  <si>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</si>
  <si>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</si>
  <si>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</si>
  <si>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</si>
  <si>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</si>
  <si>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</si>
  <si>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</si>
  <si>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</si>
  <si>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</si>
  <si>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</si>
  <si>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</si>
  <si>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</si>
  <si>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</si>
  <si>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</si>
  <si>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</si>
  <si>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</si>
  <si>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</si>
  <si>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</si>
  <si>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</si>
  <si>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</si>
  <si>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</si>
  <si>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</si>
  <si>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</si>
  <si>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</si>
  <si>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</si>
  <si>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</si>
  <si>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</si>
  <si>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</si>
  <si>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</si>
  <si>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</si>
  <si>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</si>
  <si>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</si>
  <si>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</si>
  <si>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</si>
  <si>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</si>
  <si>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</si>
  <si>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</si>
  <si>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</si>
  <si>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</si>
  <si>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</si>
  <si>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</si>
  <si>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</si>
  <si>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</si>
  <si>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</si>
  <si>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</si>
  <si>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</si>
  <si>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</si>
  <si>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</si>
  <si>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</si>
  <si>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</si>
  <si>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</si>
  <si>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</si>
  <si>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</si>
  <si>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</si>
  <si>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</si>
  <si>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</si>
  <si>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</si>
  <si>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</si>
  <si>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</si>
  <si>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</si>
  <si>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</si>
  <si>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</si>
  <si>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</si>
  <si>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</si>
  <si>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</si>
  <si>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</si>
  <si>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</si>
  <si>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</si>
  <si>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</si>
  <si>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</si>
  <si>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</si>
  <si>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</si>
  <si>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</si>
  <si>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</si>
  <si>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</si>
  <si>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</si>
  <si>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</si>
  <si>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</si>
  <si>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</si>
  <si>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</si>
  <si>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</si>
  <si>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</si>
  <si>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</si>
  <si>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</si>
  <si>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</si>
  <si>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</si>
  <si>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</si>
  <si>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</si>
  <si>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</si>
  <si>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</si>
  <si>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</si>
  <si>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</si>
  <si>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</si>
  <si>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</si>
  <si>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</si>
  <si>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자몽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</si>
  <si>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</si>
  <si>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</si>
  <si>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</si>
  <si>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</si>
  <si>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</si>
  <si>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</si>
  <si>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</si>
  <si>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</si>
  <si>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</si>
  <si>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</si>
  <si>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프링글스양파맛</t>
    </r>
  </si>
  <si>
    <r>
      <rPr>
        <sz val="11"/>
        <color rgb="FF000000"/>
        <rFont val="Arial"/>
        <family val="3"/>
        <charset val="129"/>
        <scheme val="minor"/>
      </rPr>
      <t>핫식스더킹러쉬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</si>
  <si>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</si>
  <si>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</si>
  <si>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</si>
  <si>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</si>
  <si>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</si>
  <si>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영양제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</si>
  <si>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홍삼보운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</si>
  <si>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</si>
  <si>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</si>
  <si>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r>
      <rPr>
        <sz val="11"/>
        <color rgb="FF000000"/>
        <rFont val="Arial"/>
        <family val="3"/>
        <charset val="129"/>
        <scheme val="minor"/>
      </rPr>
      <t>데체코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올리오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엑스트라버진</t>
    </r>
  </si>
  <si>
    <t>기타</t>
    <phoneticPr fontId="3" type="noConversion"/>
  </si>
  <si>
    <t>(영외)프리미엄 굴소스</t>
  </si>
  <si>
    <t>(프로블레이드)질레트프로글라이드</t>
  </si>
  <si>
    <t>2080닥터크리닉잇몸치약(3개 묶음)</t>
  </si>
  <si>
    <t>2080치약</t>
  </si>
  <si>
    <t>2배사과식초</t>
  </si>
  <si>
    <t>AIR MESH 로카티 GMR904</t>
  </si>
  <si>
    <t>ROKA 반팔티 95</t>
  </si>
  <si>
    <t>가쓰오부시 장국</t>
  </si>
  <si>
    <t>고농축피죤 써니가든 1.6L</t>
  </si>
  <si>
    <t>고농축피죤 플라워페스티벌 2.3L</t>
  </si>
  <si>
    <t>고소한 건강색각 참기름</t>
  </si>
  <si>
    <t>그린후레쉬 치약</t>
  </si>
  <si>
    <t>까먹는 과즙특젤리 망고젤리</t>
  </si>
  <si>
    <t>까스활액</t>
  </si>
  <si>
    <t>꼬마웨하스바닐라맛</t>
  </si>
  <si>
    <t>꽃샘 피어나 히비스커스 자몽</t>
  </si>
  <si>
    <t>꿀타이밍 야생화스틱15T</t>
  </si>
  <si>
    <t>뉴사이닝화이트 치약</t>
  </si>
  <si>
    <t>더프트앤도프트 핑크브리즈 파인 프라그란스 바디미스트</t>
  </si>
  <si>
    <t>데미소다 복숭아</t>
  </si>
  <si>
    <t>데일리아이마스크눈찜질팩</t>
  </si>
  <si>
    <t>동원 고추참치 90*4</t>
  </si>
  <si>
    <t>동원참치 라이트스탠다드 90g*4</t>
  </si>
  <si>
    <t>듀이트리 울트라 바이탈라이징 스네일 달팽이 3종 세트</t>
  </si>
  <si>
    <t>듀이트리 울트라 바이탈라이징 스네일크림</t>
  </si>
  <si>
    <t>듀이트리 울트라바이탈라이징 스네일 에멀전</t>
  </si>
  <si>
    <t>라보에이치 탈모증상완화샴푸</t>
  </si>
  <si>
    <t>라운드랩 1025 독도 토너 대용량, 500ml</t>
  </si>
  <si>
    <t>려 흑운모근강화볼륨샴푸</t>
  </si>
  <si>
    <t>롱스</t>
  </si>
  <si>
    <t>마데카메디패치스팟패피 51매</t>
  </si>
  <si>
    <t>맛나요 오튀</t>
  </si>
  <si>
    <t>메디안 미백과학 치약 플럼민트향</t>
  </si>
  <si>
    <t>메디안덴탈IQ미백케어치약</t>
  </si>
  <si>
    <t>메디힐 WHP 미백수분 블랙마스크</t>
  </si>
  <si>
    <t>메디힐 더블유에이치피 미백수분 블랙마스크</t>
  </si>
  <si>
    <t>메밀국수</t>
  </si>
  <si>
    <t>면도크림</t>
  </si>
  <si>
    <t>몽쉘카카오케이크</t>
  </si>
  <si>
    <t>미림</t>
  </si>
  <si>
    <t>미샤 오일컨트롤페이퍼</t>
  </si>
  <si>
    <t>밀키스제로</t>
  </si>
  <si>
    <t>바세린리프팅리페어로션</t>
  </si>
  <si>
    <t>바싹한 미니버터 크룽지</t>
  </si>
  <si>
    <t>박카스</t>
  </si>
  <si>
    <t>백설 자일로스 설탈</t>
  </si>
  <si>
    <t>백설 찍어먹는 트러플 솔트</t>
  </si>
  <si>
    <t>뱅네프 생토노레 사봉파퓨메 177(비누)</t>
  </si>
  <si>
    <t>벡셀 알카라인건전지 aaa 4입</t>
  </si>
  <si>
    <t>벡셀알카라인건전지 aa 2입</t>
  </si>
  <si>
    <t>봉편촌메밀국수2호</t>
  </si>
  <si>
    <t>부케가르니 나드 샴푸 시그니처</t>
  </si>
  <si>
    <t>불스원 그라스 디퓨저 코튼향(차량방향제)</t>
  </si>
  <si>
    <t>뷰카 클래식 구취케어 치약 아쿠아</t>
  </si>
  <si>
    <t>비비고 오리지널 김스낵</t>
  </si>
  <si>
    <t>비알티씨 파워옴므올인원솔루션기획세트</t>
  </si>
  <si>
    <t>비욘드 바디 디펜스 에멀전</t>
  </si>
  <si>
    <t>비원즈 피토 콜라겐 아이세럼스틱</t>
  </si>
  <si>
    <t>비트 트리플액션 2.8L(일반)</t>
  </si>
  <si>
    <t>빅파이딸기(중)</t>
  </si>
  <si>
    <t>빈츠초콜릿</t>
  </si>
  <si>
    <t>빼빼로</t>
  </si>
  <si>
    <t>생활도감 혀클리너(화이트)</t>
  </si>
  <si>
    <t>센카 퍼팩트 휩 페이셜 워시</t>
  </si>
  <si>
    <t>센텔리안 24 마데카 베리어 바디로션</t>
  </si>
  <si>
    <t>센텔리안 24 마데카 옴프 올인원</t>
  </si>
  <si>
    <t>센텔리안24 링클셀 코어 아이크림</t>
  </si>
  <si>
    <t>셀시어스 스파클링 오렌지맛</t>
  </si>
  <si>
    <t>셀퓨전씨 데일리 리페어 레이저크림</t>
  </si>
  <si>
    <t>셀퓨젼시 카밍다운크림</t>
  </si>
  <si>
    <t>스낵면</t>
  </si>
  <si>
    <t>스킨유 이노센트 컴포티우디 샤워젤</t>
  </si>
  <si>
    <t>스팀베이스 데일리 아이마스크 라벤더</t>
  </si>
  <si>
    <t>스페셜k 오리지날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</si>
  <si>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</si>
  <si>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</si>
  <si>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</si>
  <si>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</si>
  <si>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</si>
  <si>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</si>
  <si>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 xml:space="preserve">아비브 수분초 콜라겐 젤 마스크팩 </t>
  </si>
  <si>
    <t>아비브 아크네 폼 클렌저 어성초</t>
  </si>
  <si>
    <t>아비브 약산성 pH 시트 마스크</t>
  </si>
  <si>
    <t>아비브 어성초 에센스 카밍펌프</t>
  </si>
  <si>
    <t>아비브 콜라겐 겔마스크 수분초 젤</t>
  </si>
  <si>
    <t>아워티 핑크리치 캐모마일티 8p</t>
  </si>
  <si>
    <t>아이소이 인텐시브 리프팅 스팟</t>
  </si>
  <si>
    <t>안성탕면</t>
  </si>
  <si>
    <t>액츠프리미엄젤 프레쉬</t>
  </si>
  <si>
    <t>엄마손파이</t>
  </si>
  <si>
    <t>에코버 울세탁세제 허니듀</t>
  </si>
  <si>
    <t>옛날볶음참깨</t>
  </si>
  <si>
    <t>왕고래밥볶음양념맛</t>
  </si>
  <si>
    <t>울트라 바이탈 라이징 스네일 크림</t>
  </si>
  <si>
    <t>울트라바이탈라이징스네일스페셜기프트세트</t>
  </si>
  <si>
    <t>울트라바이탈라이징스네일에센스워터</t>
  </si>
  <si>
    <t>이니스프리 시카밤</t>
  </si>
  <si>
    <t>이클립스 쿨링 소프트 캔디 레몬맛</t>
  </si>
  <si>
    <t>자민경크레마카발로 오일 투 폼(클렌징폼)</t>
  </si>
  <si>
    <t>제주앤팜 레몬차</t>
  </si>
  <si>
    <t>제주앤팜 한라봉차</t>
  </si>
  <si>
    <t>졸음번쩍껌 울트라파워</t>
  </si>
  <si>
    <t>진라면</t>
  </si>
  <si>
    <t>짜파게티</t>
  </si>
  <si>
    <t>짜파게티 만능소스</t>
  </si>
  <si>
    <t>첵스초코</t>
  </si>
  <si>
    <t>초코틴인틴</t>
  </si>
  <si>
    <t>초코파이</t>
  </si>
  <si>
    <t>칠성사이다제로(250ml)</t>
  </si>
  <si>
    <t>칠성사이다제로(500ml)</t>
  </si>
  <si>
    <t>칸타타아이스카라멜마키아토</t>
  </si>
  <si>
    <t>케라시스 러블리앤로맨틱 퍼퓸샴푸</t>
  </si>
  <si>
    <t>코오롱 런닝</t>
  </si>
  <si>
    <t>코오롱 스포츠 반팔 95</t>
  </si>
  <si>
    <t>코주부 CLASSIC 육포 HOT &amp; SPICY 130g</t>
  </si>
  <si>
    <t>코주부 CLASSIC 육포 Mild 130g</t>
  </si>
  <si>
    <t>콘트라베이스디카페인블랙</t>
  </si>
  <si>
    <t>쿠크다스케이크</t>
  </si>
  <si>
    <t>쿨링두피영양제</t>
  </si>
  <si>
    <t>퀘이커 마시는 오트밀 단백질, 80g</t>
  </si>
  <si>
    <t>퀘이커 마시는 오트밀 오트&amp;우리쌀, 50g</t>
  </si>
  <si>
    <t>퀘이커 마시는 오트밀 찰옥수수, 50g</t>
  </si>
  <si>
    <t>크라운산도딸기</t>
  </si>
  <si>
    <t>크런키 빼빼로</t>
  </si>
  <si>
    <t>키캣 4핑거</t>
  </si>
  <si>
    <t>탁터지 레드 블레미쉬 클리어 크림</t>
  </si>
  <si>
    <t>탑플롯젤리 망고맛</t>
  </si>
  <si>
    <t>테크 특유취 제거 2.7L(일반용)</t>
  </si>
  <si>
    <t>트러플오일</t>
  </si>
  <si>
    <t>티트리 퓨리파잉 토닉 100ml</t>
  </si>
  <si>
    <t>틴인틴</t>
  </si>
  <si>
    <t>퍼팩트 휩 페이셜 워시 에이</t>
  </si>
  <si>
    <t>프링글스</t>
  </si>
  <si>
    <t>프링글스 양파맛</t>
  </si>
  <si>
    <t>피시스낵 스파이스맛</t>
  </si>
  <si>
    <t>할리스 아메리카노 1000ml</t>
  </si>
  <si>
    <t>해피바스 오리지널컬렉션 체리블로썸</t>
  </si>
  <si>
    <t>허니머스타드</t>
  </si>
  <si>
    <t>헤드스파7 샴트리샴푸</t>
  </si>
  <si>
    <t>화이트쿠키 빼뺴로</t>
  </si>
  <si>
    <t>후레쉬베리</t>
  </si>
  <si>
    <t>히말라야 핑크솔트 담은 칫솔</t>
  </si>
  <si>
    <t>꽃샘 피어나 국화&amp;유자</t>
  </si>
  <si>
    <t>나랑드사이다 245ml</t>
  </si>
  <si>
    <t>나랑드사이다 그린애플 245ml</t>
  </si>
  <si>
    <t>나랑드사이다 파인애플 245ml</t>
  </si>
  <si>
    <t>맛다시</t>
  </si>
  <si>
    <t>비욘드 바디 디펜스 샤워바스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</si>
  <si>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</si>
  <si>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</si>
  <si>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</si>
  <si>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</si>
  <si>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</si>
  <si>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해피바스 오리지널컬렉션 베이비파우더비누</t>
  </si>
  <si>
    <t>해피바스 오리지널컬렉션 올리브비누</t>
  </si>
  <si>
    <t>면도크림</t>
    <phoneticPr fontId="3" type="noConversion"/>
  </si>
  <si>
    <t>에멀전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</si>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</sst>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4" xfId="0" applyFont="1" applyBorder="1"/>
    <xf numFmtId="177" fontId="21" fillId="0" borderId="4" xfId="0" applyNumberFormat="1" applyFont="1" applyBorder="1"/>
    <xf numFmtId="0" fontId="21" fillId="0" borderId="4" xfId="0" applyFont="1" applyBorder="1" applyAlignment="1">
      <alignment horizontal="fill"/>
    </xf>
    <xf numFmtId="0" fontId="21" fillId="0" borderId="1" xfId="0" applyFont="1" applyBorder="1"/>
    <xf numFmtId="0" fontId="21" fillId="0" borderId="4" xfId="0" applyFont="1" applyBorder="1" applyAlignment="1"/>
    <xf numFmtId="0" fontId="22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25" fillId="2" borderId="1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4" xfId="0" applyFont="1" applyFill="1" applyBorder="1" applyAlignment="1">
      <alignment horizontal="center"/>
    </xf>
    <xf numFmtId="177" fontId="21" fillId="0" borderId="4" xfId="0" applyNumberFormat="1" applyFont="1" applyBorder="1" applyAlignment="1">
      <alignment horizontal="right"/>
    </xf>
    <xf numFmtId="0" fontId="21" fillId="0" borderId="4" xfId="0" applyFont="1" applyBorder="1" applyAlignment="1">
      <alignment horizontal="right"/>
    </xf>
    <xf numFmtId="177" fontId="21" fillId="0" borderId="1" xfId="0" applyNumberFormat="1" applyFont="1" applyBorder="1" applyAlignment="1">
      <alignment horizontal="right"/>
    </xf>
    <xf numFmtId="176" fontId="24" fillId="0" borderId="4" xfId="0" applyNumberFormat="1" applyFont="1" applyBorder="1"/>
    <xf numFmtId="0" fontId="21" fillId="0" borderId="4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49" fontId="21" fillId="0" borderId="0" xfId="0" applyNumberFormat="1" applyFont="1" applyAlignment="1">
      <alignment horizontal="center"/>
    </xf>
    <xf numFmtId="0" fontId="21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 filterMode="1">
    <outlinePr summaryBelow="0" summaryRight="0"/>
  </sheetPr>
  <dimension ref="B1:K969"/>
  <sheetViews>
    <sheetView tabSelected="1" workbookViewId="0">
      <pane ySplit="3" topLeftCell="A4" activePane="bottomLeft" state="frozen"/>
      <selection pane="bottomLeft" activeCell="E64" sqref="E64"/>
    </sheetView>
  </sheetViews>
  <sheetFormatPr defaultColWidth="12.6640625" defaultRowHeight="14.4" customHeight="1"/>
  <cols>
    <col min="1" max="1" width="3.33203125" style="50" customWidth="1"/>
    <col min="2" max="2" width="11.6640625" style="67" bestFit="1" customWidth="1"/>
    <col min="3" max="4" width="23" style="65" customWidth="1"/>
    <col min="5" max="5" width="72.109375" style="50" customWidth="1"/>
    <col min="6" max="6" width="12.109375" style="50" bestFit="1" customWidth="1"/>
    <col min="7" max="8" width="12.6640625" style="50" customWidth="1"/>
    <col min="9" max="9" width="24" style="52" customWidth="1"/>
    <col min="10" max="10" width="16.21875" style="50" customWidth="1"/>
    <col min="11" max="16384" width="12.6640625" style="50"/>
  </cols>
  <sheetData>
    <row r="1" spans="2:11" ht="14.4" customHeight="1">
      <c r="G1" s="51"/>
    </row>
    <row r="2" spans="2:11" ht="14.4" customHeight="1">
      <c r="B2" s="53" t="s">
        <v>56</v>
      </c>
      <c r="C2" s="54" t="s">
        <v>2</v>
      </c>
      <c r="D2" s="54" t="s">
        <v>3</v>
      </c>
      <c r="E2" s="54" t="s">
        <v>0</v>
      </c>
      <c r="F2" s="54" t="s">
        <v>1</v>
      </c>
      <c r="G2" s="54" t="s">
        <v>4</v>
      </c>
      <c r="H2" s="54" t="s">
        <v>216</v>
      </c>
      <c r="I2" s="54" t="s">
        <v>217</v>
      </c>
      <c r="J2" s="54" t="s">
        <v>5</v>
      </c>
    </row>
    <row r="3" spans="2:11" ht="14.4" customHeight="1">
      <c r="B3" s="55" t="s">
        <v>59</v>
      </c>
      <c r="C3" s="56" t="s">
        <v>60</v>
      </c>
      <c r="D3" s="56" t="s">
        <v>29</v>
      </c>
      <c r="E3" s="56" t="s">
        <v>30</v>
      </c>
      <c r="F3" s="56" t="s">
        <v>61</v>
      </c>
      <c r="G3" s="56" t="s">
        <v>31</v>
      </c>
      <c r="H3" s="56"/>
      <c r="I3" s="56" t="s">
        <v>62</v>
      </c>
      <c r="J3" s="56" t="s">
        <v>32</v>
      </c>
      <c r="K3" s="50" t="s">
        <v>386</v>
      </c>
    </row>
    <row r="4" spans="2:11" ht="13.8" hidden="1">
      <c r="B4" s="68">
        <v>1</v>
      </c>
      <c r="C4" s="61" t="s">
        <v>6</v>
      </c>
      <c r="D4" s="61" t="s">
        <v>7</v>
      </c>
      <c r="E4" s="44" t="s">
        <v>8</v>
      </c>
      <c r="F4" s="57">
        <v>2970</v>
      </c>
      <c r="G4" s="58">
        <v>1</v>
      </c>
      <c r="H4" s="45">
        <f>F4*G4</f>
        <v>2970</v>
      </c>
      <c r="I4" s="48" t="str">
        <f>_xlfn.CONCAT(E4, ".jpg")</f>
        <v>캘리포니아센트 스필프루프 코로나도.jpg</v>
      </c>
      <c r="J4" s="44" t="s">
        <v>9</v>
      </c>
      <c r="K4" s="50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hidden="1" customHeight="1">
      <c r="B5" s="69">
        <v>2</v>
      </c>
      <c r="C5" s="61" t="s">
        <v>6</v>
      </c>
      <c r="D5" s="61" t="s">
        <v>7</v>
      </c>
      <c r="E5" s="44" t="s">
        <v>10</v>
      </c>
      <c r="F5" s="57">
        <v>6100</v>
      </c>
      <c r="G5" s="58">
        <v>1</v>
      </c>
      <c r="H5" s="45">
        <f>F5*G5</f>
        <v>6100</v>
      </c>
      <c r="I5" s="48" t="str">
        <f t="shared" ref="I5:I68" si="0">_xlfn.CONCAT(E5, ".jpg")</f>
        <v>젠틀 디퓨저 블랙로즈.jpg</v>
      </c>
      <c r="J5" s="44"/>
      <c r="K5" s="50" t="str">
        <f t="shared" ref="K5:K57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hidden="1" customHeight="1">
      <c r="B6" s="68">
        <v>3</v>
      </c>
      <c r="C6" s="61" t="s">
        <v>6</v>
      </c>
      <c r="D6" s="61" t="s">
        <v>7</v>
      </c>
      <c r="E6" s="44" t="s">
        <v>188</v>
      </c>
      <c r="F6" s="57">
        <v>8760</v>
      </c>
      <c r="G6" s="58">
        <v>1</v>
      </c>
      <c r="H6" s="45">
        <f>F6*G6</f>
        <v>8760</v>
      </c>
      <c r="I6" s="48" t="str">
        <f t="shared" si="0"/>
        <v>에멜시 차량용 방향제 170ml 헤블린 오션.jpg</v>
      </c>
      <c r="J6" s="44"/>
      <c r="K6" s="50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hidden="1" customHeight="1">
      <c r="B7" s="69">
        <v>4</v>
      </c>
      <c r="C7" s="61" t="s">
        <v>6</v>
      </c>
      <c r="D7" s="61" t="s">
        <v>7</v>
      </c>
      <c r="E7" s="44" t="s">
        <v>172</v>
      </c>
      <c r="F7" s="57">
        <v>8990</v>
      </c>
      <c r="G7" s="58">
        <v>1</v>
      </c>
      <c r="H7" s="45">
        <f>F7*G7</f>
        <v>8990</v>
      </c>
      <c r="I7" s="48" t="str">
        <f t="shared" si="0"/>
        <v>그라스 디퓨저 105ml 블랙베리&amp;체리.jpg</v>
      </c>
      <c r="J7" s="44"/>
      <c r="K7" s="50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hidden="1" customHeight="1">
      <c r="B8" s="68">
        <v>5</v>
      </c>
      <c r="C8" s="66" t="s">
        <v>219</v>
      </c>
      <c r="D8" s="61" t="s">
        <v>11</v>
      </c>
      <c r="E8" s="44" t="s">
        <v>174</v>
      </c>
      <c r="F8" s="57">
        <v>6150</v>
      </c>
      <c r="G8" s="58">
        <v>1</v>
      </c>
      <c r="H8" s="45">
        <f>F8*G8</f>
        <v>6150</v>
      </c>
      <c r="I8" s="48" t="str">
        <f t="shared" si="0"/>
        <v>다우니 프리미엄 세탁세제 액체형 실내건조.jpg</v>
      </c>
      <c r="J8" s="44"/>
      <c r="K8" s="50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hidden="1" customHeight="1">
      <c r="B9" s="69">
        <v>6</v>
      </c>
      <c r="C9" s="61" t="s">
        <v>6</v>
      </c>
      <c r="D9" s="61" t="s">
        <v>71</v>
      </c>
      <c r="E9" s="44" t="s">
        <v>186</v>
      </c>
      <c r="F9" s="57">
        <v>25280</v>
      </c>
      <c r="G9" s="58">
        <v>1</v>
      </c>
      <c r="H9" s="45">
        <f>F9*G9</f>
        <v>25280</v>
      </c>
      <c r="I9" s="48" t="str">
        <f t="shared" si="0"/>
        <v>비트 마사지 건 HMS-12.jpg</v>
      </c>
      <c r="J9" s="44"/>
      <c r="K9" s="50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hidden="1" customHeight="1">
      <c r="B10" s="69">
        <v>7</v>
      </c>
      <c r="C10" s="61" t="s">
        <v>6</v>
      </c>
      <c r="D10" s="61" t="s">
        <v>74</v>
      </c>
      <c r="E10" s="44" t="s">
        <v>197</v>
      </c>
      <c r="F10" s="57">
        <v>13280</v>
      </c>
      <c r="G10" s="58">
        <v>1</v>
      </c>
      <c r="H10" s="45">
        <f>F10*G10</f>
        <v>13280</v>
      </c>
      <c r="I10" s="48" t="str">
        <f t="shared" si="0"/>
        <v>질레트 프로쉴드 옐로우 면도날 4입.jpg</v>
      </c>
      <c r="J10" s="44"/>
      <c r="K10" s="50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hidden="1" customHeight="1">
      <c r="B11" s="68">
        <v>8</v>
      </c>
      <c r="C11" s="61" t="s">
        <v>12</v>
      </c>
      <c r="D11" s="61" t="s">
        <v>13</v>
      </c>
      <c r="E11" s="44" t="s">
        <v>207</v>
      </c>
      <c r="F11" s="57">
        <v>1250</v>
      </c>
      <c r="G11" s="58">
        <v>12</v>
      </c>
      <c r="H11" s="45">
        <f>F11*G11</f>
        <v>15000</v>
      </c>
      <c r="I11" s="48" t="str">
        <f t="shared" si="0"/>
        <v>프링글스양파맛.jpg</v>
      </c>
      <c r="J11" s="44"/>
      <c r="K11" s="50" t="str">
        <f t="shared" si="1"/>
        <v>{"ITM_SEQ":"8","TYPE":"식품","TYPE_DTL":"과자","ITM_NM":"프링글스양파맛","PRICE":"1250","UNIT":"12","":"15000","IMG":"프링글스양파맛.jpg"},</v>
      </c>
    </row>
    <row r="12" spans="2:11" ht="14.4" hidden="1" customHeight="1">
      <c r="B12" s="68">
        <v>9</v>
      </c>
      <c r="C12" s="61" t="s">
        <v>12</v>
      </c>
      <c r="D12" s="61" t="s">
        <v>13</v>
      </c>
      <c r="E12" s="47" t="s">
        <v>206</v>
      </c>
      <c r="F12" s="59">
        <v>1400</v>
      </c>
      <c r="G12" s="58">
        <v>12</v>
      </c>
      <c r="H12" s="45">
        <f>F12*G12</f>
        <v>16800</v>
      </c>
      <c r="I12" s="48" t="str">
        <f t="shared" si="0"/>
        <v>프링글스 리치치즈갈릭.jpg</v>
      </c>
      <c r="J12" s="44"/>
      <c r="K12" s="50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hidden="1" customHeight="1">
      <c r="B13" s="69">
        <v>10</v>
      </c>
      <c r="C13" s="61" t="s">
        <v>12</v>
      </c>
      <c r="D13" s="61" t="s">
        <v>13</v>
      </c>
      <c r="E13" s="44" t="s">
        <v>80</v>
      </c>
      <c r="F13" s="60">
        <v>1250</v>
      </c>
      <c r="G13" s="58">
        <v>12</v>
      </c>
      <c r="H13" s="45">
        <f>F13*G13</f>
        <v>15000</v>
      </c>
      <c r="I13" s="48" t="str">
        <f t="shared" si="0"/>
        <v>프링글스 버터카라멜.jpg</v>
      </c>
      <c r="J13" s="44"/>
      <c r="K13" s="50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hidden="1" customHeight="1">
      <c r="B14" s="68">
        <v>11</v>
      </c>
      <c r="C14" s="61" t="s">
        <v>12</v>
      </c>
      <c r="D14" s="61" t="s">
        <v>13</v>
      </c>
      <c r="E14" s="44" t="s">
        <v>82</v>
      </c>
      <c r="F14" s="60">
        <v>1250</v>
      </c>
      <c r="G14" s="58">
        <v>12</v>
      </c>
      <c r="H14" s="45">
        <f>F14*G14</f>
        <v>15000</v>
      </c>
      <c r="I14" s="48" t="str">
        <f t="shared" si="0"/>
        <v>프링글스 핫앤스파이시.jpg</v>
      </c>
      <c r="J14" s="44"/>
      <c r="K14" s="50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hidden="1" customHeight="1">
      <c r="B15" s="68">
        <v>12</v>
      </c>
      <c r="C15" s="61" t="s">
        <v>12</v>
      </c>
      <c r="D15" s="61" t="s">
        <v>13</v>
      </c>
      <c r="E15" s="44" t="s">
        <v>204</v>
      </c>
      <c r="F15" s="57">
        <v>450</v>
      </c>
      <c r="G15" s="58">
        <v>15</v>
      </c>
      <c r="H15" s="45">
        <f>F15*G15</f>
        <v>6750</v>
      </c>
      <c r="I15" s="48" t="str">
        <f t="shared" si="0"/>
        <v>키커바.jpg</v>
      </c>
      <c r="J15" s="44"/>
      <c r="K15" s="50" t="str">
        <f t="shared" si="1"/>
        <v>{"ITM_SEQ":"12","TYPE":"식품","TYPE_DTL":"과자","ITM_NM":"키커바","PRICE":"450","UNIT":"15","":"6750","IMG":"키커바.jpg"},</v>
      </c>
    </row>
    <row r="16" spans="2:11" ht="14.4" hidden="1" customHeight="1">
      <c r="B16" s="69">
        <v>13</v>
      </c>
      <c r="C16" s="61" t="s">
        <v>12</v>
      </c>
      <c r="D16" s="61" t="s">
        <v>13</v>
      </c>
      <c r="E16" s="44" t="s">
        <v>199</v>
      </c>
      <c r="F16" s="57">
        <v>7130</v>
      </c>
      <c r="G16" s="58">
        <v>1</v>
      </c>
      <c r="H16" s="45">
        <f>F16*G16</f>
        <v>7130</v>
      </c>
      <c r="I16" s="48" t="str">
        <f t="shared" si="0"/>
        <v>코주부 CLASSIC 육포 Mild 130g.jpg</v>
      </c>
      <c r="J16" s="44"/>
      <c r="K16" s="50" t="str">
        <f t="shared" si="1"/>
        <v>{"ITM_SEQ":"13","TYPE":"식품","TYPE_DTL":"과자","ITM_NM":"코주부 CLASSIC 육포 Mild 130g","PRICE":"7130","UNIT":"1","":"7130","IMG":"코주부 CLASSIC 육포 Mild 130g.jpg"},</v>
      </c>
    </row>
    <row r="17" spans="2:11" ht="14.4" hidden="1" customHeight="1">
      <c r="B17" s="68">
        <v>14</v>
      </c>
      <c r="C17" s="61" t="s">
        <v>12</v>
      </c>
      <c r="D17" s="61" t="s">
        <v>13</v>
      </c>
      <c r="E17" s="44" t="s">
        <v>198</v>
      </c>
      <c r="F17" s="57">
        <v>6040</v>
      </c>
      <c r="G17" s="58">
        <v>1</v>
      </c>
      <c r="H17" s="45">
        <f>F17*G17</f>
        <v>6040</v>
      </c>
      <c r="I17" s="48" t="str">
        <f t="shared" si="0"/>
        <v>코주부 CLASSIC 육포 HOT &amp; SPICY 130g.jpg</v>
      </c>
      <c r="J17" s="44"/>
      <c r="K17" s="50" t="str">
        <f t="shared" si="1"/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hidden="1" customHeight="1">
      <c r="B18" s="69">
        <v>15</v>
      </c>
      <c r="C18" s="61" t="s">
        <v>12</v>
      </c>
      <c r="D18" s="61" t="s">
        <v>14</v>
      </c>
      <c r="E18" s="44" t="s">
        <v>205</v>
      </c>
      <c r="F18" s="57">
        <v>680</v>
      </c>
      <c r="G18" s="58">
        <v>20</v>
      </c>
      <c r="H18" s="45">
        <f>F18*G18</f>
        <v>13600</v>
      </c>
      <c r="I18" s="48" t="str">
        <f t="shared" si="0"/>
        <v>펩시제로슈거라임 500ml.jpg</v>
      </c>
      <c r="J18" s="44"/>
      <c r="K18" s="50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hidden="1" customHeight="1">
      <c r="B19" s="68">
        <v>16</v>
      </c>
      <c r="C19" s="61" t="s">
        <v>12</v>
      </c>
      <c r="D19" s="61" t="s">
        <v>14</v>
      </c>
      <c r="E19" s="44" t="s">
        <v>208</v>
      </c>
      <c r="F19" s="57">
        <v>710</v>
      </c>
      <c r="G19" s="58">
        <v>24</v>
      </c>
      <c r="H19" s="45">
        <f>F19*G19</f>
        <v>17040</v>
      </c>
      <c r="I19" s="48" t="str">
        <f t="shared" si="0"/>
        <v>핫식스더킹러쉬 355ml.jpg</v>
      </c>
      <c r="J19" s="44"/>
      <c r="K19" s="50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hidden="1" customHeight="1">
      <c r="B20" s="68">
        <v>17</v>
      </c>
      <c r="C20" s="61" t="s">
        <v>12</v>
      </c>
      <c r="D20" s="61" t="s">
        <v>14</v>
      </c>
      <c r="E20" s="44" t="s">
        <v>209</v>
      </c>
      <c r="F20" s="57">
        <v>740</v>
      </c>
      <c r="G20" s="58">
        <v>24</v>
      </c>
      <c r="H20" s="45">
        <f>F20*G20</f>
        <v>17760</v>
      </c>
      <c r="I20" s="48" t="str">
        <f t="shared" si="0"/>
        <v>핫식스더킹파워 355ml.jpg</v>
      </c>
      <c r="J20" s="44"/>
      <c r="K20" s="50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hidden="1" customHeight="1">
      <c r="B21" s="69">
        <v>18</v>
      </c>
      <c r="C21" s="61" t="s">
        <v>12</v>
      </c>
      <c r="D21" s="61" t="s">
        <v>14</v>
      </c>
      <c r="E21" s="44" t="s">
        <v>184</v>
      </c>
      <c r="F21" s="57">
        <v>1420</v>
      </c>
      <c r="G21" s="58">
        <v>24</v>
      </c>
      <c r="H21" s="45">
        <f>F21*G21</f>
        <v>34080</v>
      </c>
      <c r="I21" s="48" t="str">
        <f t="shared" si="0"/>
        <v>몬스터에너지 울트라 355ml.jpg</v>
      </c>
      <c r="J21" s="44"/>
      <c r="K21" s="50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hidden="1" customHeight="1">
      <c r="B22" s="68">
        <v>19</v>
      </c>
      <c r="C22" s="61" t="s">
        <v>12</v>
      </c>
      <c r="D22" s="61" t="s">
        <v>15</v>
      </c>
      <c r="E22" s="44" t="s">
        <v>210</v>
      </c>
      <c r="F22" s="57">
        <v>620</v>
      </c>
      <c r="G22" s="58">
        <v>36</v>
      </c>
      <c r="H22" s="45">
        <f>F22*G22</f>
        <v>22320</v>
      </c>
      <c r="I22" s="48" t="str">
        <f t="shared" si="0"/>
        <v>햇반 130g.jpg</v>
      </c>
      <c r="J22" s="44"/>
      <c r="K22" s="50" t="str">
        <f t="shared" si="1"/>
        <v>{"ITM_SEQ":"19","TYPE":"식품","TYPE_DTL":"즉석밥","ITM_NM":"햇반 130g","PRICE":"620","UNIT":"36","":"22320","IMG":"햇반 130g.jpg"},</v>
      </c>
    </row>
    <row r="23" spans="2:11" ht="14.4" hidden="1" customHeight="1">
      <c r="B23" s="69">
        <v>20</v>
      </c>
      <c r="C23" s="61" t="s">
        <v>12</v>
      </c>
      <c r="D23" s="61" t="s">
        <v>15</v>
      </c>
      <c r="E23" s="44" t="s">
        <v>211</v>
      </c>
      <c r="F23" s="57">
        <v>1100</v>
      </c>
      <c r="G23" s="58">
        <v>24</v>
      </c>
      <c r="H23" s="45">
        <f>F23*G23</f>
        <v>26400</v>
      </c>
      <c r="I23" s="48" t="str">
        <f t="shared" si="0"/>
        <v>햇반 210g.jpg</v>
      </c>
      <c r="J23" s="44"/>
      <c r="K23" s="50" t="str">
        <f t="shared" si="1"/>
        <v>{"ITM_SEQ":"20","TYPE":"식품","TYPE_DTL":"즉석밥","ITM_NM":"햇반 210g","PRICE":"1100","UNIT":"24","":"26400","IMG":"햇반 210g.jpg"},</v>
      </c>
    </row>
    <row r="24" spans="2:11" ht="14.4" hidden="1" customHeight="1">
      <c r="B24" s="68">
        <v>21</v>
      </c>
      <c r="C24" s="61" t="s">
        <v>12</v>
      </c>
      <c r="D24" s="61" t="s">
        <v>15</v>
      </c>
      <c r="E24" s="44" t="s">
        <v>182</v>
      </c>
      <c r="F24" s="57">
        <v>850</v>
      </c>
      <c r="G24" s="58">
        <v>24</v>
      </c>
      <c r="H24" s="45">
        <f>F24*G24</f>
        <v>20400</v>
      </c>
      <c r="I24" s="48" t="str">
        <f t="shared" si="0"/>
        <v>맛있는 오뚜기밥 210g.jpg</v>
      </c>
      <c r="J24" s="44"/>
      <c r="K24" s="50" t="str">
        <f t="shared" si="1"/>
        <v>{"ITM_SEQ":"21","TYPE":"식품","TYPE_DTL":"즉석밥","ITM_NM":"맛있는 오뚜기밥 210g","PRICE":"850","UNIT":"24","":"20400","IMG":"맛있는 오뚜기밥 210g.jpg"},</v>
      </c>
    </row>
    <row r="25" spans="2:11" ht="14.4" hidden="1" customHeight="1">
      <c r="B25" s="69">
        <v>22</v>
      </c>
      <c r="C25" s="61" t="s">
        <v>12</v>
      </c>
      <c r="D25" s="61" t="s">
        <v>15</v>
      </c>
      <c r="E25" s="44" t="s">
        <v>213</v>
      </c>
      <c r="F25" s="57">
        <v>800</v>
      </c>
      <c r="G25" s="58">
        <v>24</v>
      </c>
      <c r="H25" s="45">
        <f>F25*G25</f>
        <v>19200</v>
      </c>
      <c r="I25" s="48" t="str">
        <f t="shared" si="0"/>
        <v>햇반흑미밥 130g.jpg</v>
      </c>
      <c r="J25" s="44"/>
      <c r="K25" s="50" t="str">
        <f t="shared" si="1"/>
        <v>{"ITM_SEQ":"22","TYPE":"식품","TYPE_DTL":"즉석밥","ITM_NM":"햇반흑미밥 130g","PRICE":"800","UNIT":"24","":"19200","IMG":"햇반흑미밥 130g.jpg"},</v>
      </c>
    </row>
    <row r="26" spans="2:11" ht="14.4" hidden="1" customHeight="1">
      <c r="B26" s="68">
        <v>23</v>
      </c>
      <c r="C26" s="61" t="s">
        <v>12</v>
      </c>
      <c r="D26" s="61" t="s">
        <v>15</v>
      </c>
      <c r="E26" s="44" t="s">
        <v>212</v>
      </c>
      <c r="F26" s="57">
        <v>1010</v>
      </c>
      <c r="G26" s="58">
        <v>24</v>
      </c>
      <c r="H26" s="45">
        <f>F26*G26</f>
        <v>24240</v>
      </c>
      <c r="I26" s="48" t="str">
        <f t="shared" si="0"/>
        <v>햇반 매일잡곡밥 210g.jpg</v>
      </c>
      <c r="J26" s="44"/>
      <c r="K26" s="50" t="str">
        <f t="shared" si="1"/>
        <v>{"ITM_SEQ":"23","TYPE":"식품","TYPE_DTL":"즉석밥","ITM_NM":"햇반 매일잡곡밥 210g","PRICE":"1010","UNIT":"24","":"24240","IMG":"햇반 매일잡곡밥 210g.jpg"},</v>
      </c>
    </row>
    <row r="27" spans="2:11" ht="14.4" hidden="1" customHeight="1">
      <c r="B27" s="69">
        <v>24</v>
      </c>
      <c r="C27" s="61" t="s">
        <v>12</v>
      </c>
      <c r="D27" s="61" t="s">
        <v>189</v>
      </c>
      <c r="E27" s="44" t="s">
        <v>190</v>
      </c>
      <c r="F27" s="57">
        <v>530</v>
      </c>
      <c r="G27" s="58">
        <v>15</v>
      </c>
      <c r="H27" s="45">
        <f>F27*G27</f>
        <v>7950</v>
      </c>
      <c r="I27" s="48" t="str">
        <f t="shared" si="0"/>
        <v>오뚜기 컵누들 매콤한 맛.jpg</v>
      </c>
      <c r="J27" s="44"/>
      <c r="K27" s="50" t="str">
        <f t="shared" si="1"/>
        <v>{"ITM_SEQ":"24","TYPE":"식품","TYPE_DTL":"라면","ITM_NM":"오뚜기 컵누들 매콤한 맛","PRICE":"530","UNIT":"15","":"7950","IMG":"오뚜기 컵누들 매콤한 맛.jpg"},</v>
      </c>
    </row>
    <row r="28" spans="2:11" ht="14.4" hidden="1" customHeight="1">
      <c r="B28" s="68">
        <v>25</v>
      </c>
      <c r="C28" s="61" t="s">
        <v>12</v>
      </c>
      <c r="D28" s="61" t="s">
        <v>16</v>
      </c>
      <c r="E28" s="44" t="s">
        <v>194</v>
      </c>
      <c r="F28" s="57">
        <v>2550</v>
      </c>
      <c r="G28" s="58">
        <v>1</v>
      </c>
      <c r="H28" s="45">
        <f>F28*G28</f>
        <v>2550</v>
      </c>
      <c r="I28" s="48" t="str">
        <f t="shared" si="0"/>
        <v>쟈뎅 아워티 콤푸차 레몬 10p.jpg</v>
      </c>
      <c r="J28" s="44"/>
      <c r="K28" s="50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hidden="1" customHeight="1">
      <c r="B29" s="69">
        <v>26</v>
      </c>
      <c r="C29" s="61" t="s">
        <v>12</v>
      </c>
      <c r="D29" s="61" t="s">
        <v>16</v>
      </c>
      <c r="E29" s="44" t="s">
        <v>195</v>
      </c>
      <c r="F29" s="57">
        <v>2550</v>
      </c>
      <c r="G29" s="58">
        <v>1</v>
      </c>
      <c r="H29" s="45">
        <f>F29*G29</f>
        <v>2550</v>
      </c>
      <c r="I29" s="48" t="str">
        <f t="shared" si="0"/>
        <v>쟈뎅 아워티 콤푸차 베리 10p.jpg</v>
      </c>
      <c r="J29" s="44"/>
      <c r="K29" s="50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hidden="1" customHeight="1">
      <c r="B30" s="68">
        <v>27</v>
      </c>
      <c r="C30" s="61" t="s">
        <v>12</v>
      </c>
      <c r="D30" s="61" t="s">
        <v>16</v>
      </c>
      <c r="E30" s="44" t="s">
        <v>196</v>
      </c>
      <c r="F30" s="57">
        <v>2550</v>
      </c>
      <c r="G30" s="58">
        <v>1</v>
      </c>
      <c r="H30" s="45">
        <f>F30*G30</f>
        <v>2550</v>
      </c>
      <c r="I30" s="48" t="str">
        <f t="shared" si="0"/>
        <v>쟈뎅 아워티 콤푸차 자몽 10p.jpg</v>
      </c>
      <c r="J30" s="44"/>
      <c r="K30" s="50" t="str">
        <f t="shared" si="1"/>
        <v>{"ITM_SEQ":"27","TYPE":"식품","TYPE_DTL":"차","ITM_NM":"쟈뎅 아워티 콤푸차 자몽 10p","PRICE":"2550","UNIT":"1","":"2550","IMG":"쟈뎅 아워티 콤푸차 자몽 10p.jpg"},</v>
      </c>
    </row>
    <row r="31" spans="2:11" ht="14.4" hidden="1" customHeight="1">
      <c r="B31" s="69">
        <v>28</v>
      </c>
      <c r="C31" s="61" t="s">
        <v>12</v>
      </c>
      <c r="D31" s="61" t="s">
        <v>17</v>
      </c>
      <c r="E31" s="44" t="s">
        <v>185</v>
      </c>
      <c r="F31" s="57">
        <v>570</v>
      </c>
      <c r="G31" s="58">
        <v>8</v>
      </c>
      <c r="H31" s="45">
        <f>F31*G31</f>
        <v>4560</v>
      </c>
      <c r="I31" s="48" t="str">
        <f t="shared" si="0"/>
        <v>박카스맛젤리.jpg</v>
      </c>
      <c r="J31" s="44"/>
      <c r="K31" s="50" t="str">
        <f t="shared" si="1"/>
        <v>{"ITM_SEQ":"28","TYPE":"식품","TYPE_DTL":"캔디","ITM_NM":"박카스맛젤리","PRICE":"570","UNIT":"8","":"4560","IMG":"박카스맛젤리.jpg"},</v>
      </c>
    </row>
    <row r="32" spans="2:11" ht="14.4" hidden="1" customHeight="1">
      <c r="B32" s="68">
        <v>29</v>
      </c>
      <c r="C32" s="61" t="s">
        <v>12</v>
      </c>
      <c r="D32" s="61" t="s">
        <v>17</v>
      </c>
      <c r="E32" s="44" t="s">
        <v>192</v>
      </c>
      <c r="F32" s="57">
        <v>960</v>
      </c>
      <c r="G32" s="58">
        <v>8</v>
      </c>
      <c r="H32" s="45">
        <f>F32*G32</f>
        <v>7680</v>
      </c>
      <c r="I32" s="48" t="str">
        <f t="shared" si="0"/>
        <v>이클립스 페퍼민트향 34g.jpg</v>
      </c>
      <c r="J32" s="44"/>
      <c r="K32" s="50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hidden="1" customHeight="1">
      <c r="B33" s="69">
        <v>30</v>
      </c>
      <c r="C33" s="61" t="s">
        <v>12</v>
      </c>
      <c r="D33" s="61" t="s">
        <v>17</v>
      </c>
      <c r="E33" s="44" t="s">
        <v>193</v>
      </c>
      <c r="F33" s="57">
        <v>990</v>
      </c>
      <c r="G33" s="58">
        <v>8</v>
      </c>
      <c r="H33" s="45">
        <f>F33*G33</f>
        <v>7920</v>
      </c>
      <c r="I33" s="48" t="str">
        <f t="shared" si="0"/>
        <v>이클립스 피치향 34g.jpg</v>
      </c>
      <c r="J33" s="44"/>
      <c r="K33" s="50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hidden="1" customHeight="1">
      <c r="B34" s="68">
        <v>31</v>
      </c>
      <c r="C34" s="61" t="s">
        <v>12</v>
      </c>
      <c r="D34" s="61" t="s">
        <v>27</v>
      </c>
      <c r="E34" s="44" t="s">
        <v>98</v>
      </c>
      <c r="F34" s="57">
        <v>36960</v>
      </c>
      <c r="G34" s="58">
        <v>1</v>
      </c>
      <c r="H34" s="45">
        <f>F34*G34</f>
        <v>36960</v>
      </c>
      <c r="I34" s="48" t="str">
        <f t="shared" si="0"/>
        <v>맥스빌더.jpg</v>
      </c>
      <c r="J34" s="44"/>
      <c r="K34" s="50" t="str">
        <f t="shared" si="1"/>
        <v>{"ITM_SEQ":"31","TYPE":"식품","TYPE_DTL":"영양제","ITM_NM":"맥스빌더","PRICE":"36960","UNIT":"1","":"36960","IMG":"맥스빌더.jpg"},</v>
      </c>
    </row>
    <row r="35" spans="2:11" ht="14.4" hidden="1" customHeight="1">
      <c r="B35" s="69">
        <v>32</v>
      </c>
      <c r="C35" s="61" t="s">
        <v>12</v>
      </c>
      <c r="D35" s="61" t="s">
        <v>113</v>
      </c>
      <c r="E35" s="44" t="s">
        <v>114</v>
      </c>
      <c r="F35" s="57">
        <v>440</v>
      </c>
      <c r="G35" s="58">
        <v>12</v>
      </c>
      <c r="H35" s="45">
        <f>F35*G35</f>
        <v>5280</v>
      </c>
      <c r="I35" s="48" t="str">
        <f t="shared" si="0"/>
        <v>롯데햄 키스틱 더블치즈 소시지.jpg</v>
      </c>
      <c r="J35" s="44"/>
      <c r="K35" s="50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hidden="1" customHeight="1">
      <c r="B36" s="68">
        <v>33</v>
      </c>
      <c r="C36" s="61" t="s">
        <v>12</v>
      </c>
      <c r="D36" s="61" t="s">
        <v>113</v>
      </c>
      <c r="E36" s="44" t="s">
        <v>116</v>
      </c>
      <c r="F36" s="57">
        <v>660</v>
      </c>
      <c r="G36" s="58">
        <v>12</v>
      </c>
      <c r="H36" s="45">
        <f>F36*G36</f>
        <v>7920</v>
      </c>
      <c r="I36" s="48" t="str">
        <f t="shared" si="0"/>
        <v>키스틱.jpg</v>
      </c>
      <c r="J36" s="44"/>
      <c r="K36" s="50" t="str">
        <f t="shared" si="1"/>
        <v>{"ITM_SEQ":"33","TYPE":"식품","TYPE_DTL":"소세지","ITM_NM":"키스틱","PRICE":"660","UNIT":"12","":"7920","IMG":"키스틱.jpg"},</v>
      </c>
    </row>
    <row r="37" spans="2:11" ht="14.4" hidden="1" customHeight="1">
      <c r="B37" s="69">
        <v>34</v>
      </c>
      <c r="C37" s="61" t="s">
        <v>12</v>
      </c>
      <c r="D37" s="61" t="s">
        <v>118</v>
      </c>
      <c r="E37" s="44" t="s">
        <v>203</v>
      </c>
      <c r="F37" s="57">
        <v>960</v>
      </c>
      <c r="G37" s="58">
        <v>10</v>
      </c>
      <c r="H37" s="45">
        <f>F37*G37</f>
        <v>9600</v>
      </c>
      <c r="I37" s="48" t="str">
        <f t="shared" si="0"/>
        <v>퀘이커 마시는오트밀 오트&amp;그레인, 50g.jpg</v>
      </c>
      <c r="J37" s="44"/>
      <c r="K37" s="50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hidden="1" customHeight="1">
      <c r="B38" s="68">
        <v>35</v>
      </c>
      <c r="C38" s="61" t="s">
        <v>12</v>
      </c>
      <c r="D38" s="61" t="s">
        <v>118</v>
      </c>
      <c r="E38" s="44" t="s">
        <v>201</v>
      </c>
      <c r="F38" s="57">
        <v>940</v>
      </c>
      <c r="G38" s="58">
        <v>10</v>
      </c>
      <c r="H38" s="45">
        <f>F38*G38</f>
        <v>9400</v>
      </c>
      <c r="I38" s="48" t="str">
        <f t="shared" si="0"/>
        <v>퀘이커 마시는 오트밀 오트&amp;우리쌀, 50g.jpg</v>
      </c>
      <c r="J38" s="44"/>
      <c r="K38" s="50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hidden="1" customHeight="1">
      <c r="B39" s="69">
        <v>36</v>
      </c>
      <c r="C39" s="61" t="s">
        <v>12</v>
      </c>
      <c r="D39" s="61" t="s">
        <v>118</v>
      </c>
      <c r="E39" s="44" t="s">
        <v>200</v>
      </c>
      <c r="F39" s="57">
        <v>1390</v>
      </c>
      <c r="G39" s="58">
        <v>10</v>
      </c>
      <c r="H39" s="45">
        <f>F39*G39</f>
        <v>13900</v>
      </c>
      <c r="I39" s="48" t="str">
        <f t="shared" si="0"/>
        <v>퀘이커 마시는 오트밀 단백질, 80g.jpg</v>
      </c>
      <c r="J39" s="44"/>
      <c r="K39" s="50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hidden="1" customHeight="1">
      <c r="B40" s="68">
        <v>37</v>
      </c>
      <c r="C40" s="61" t="s">
        <v>12</v>
      </c>
      <c r="D40" s="61" t="s">
        <v>118</v>
      </c>
      <c r="E40" s="44" t="s">
        <v>202</v>
      </c>
      <c r="F40" s="57">
        <v>1080</v>
      </c>
      <c r="G40" s="58">
        <v>10</v>
      </c>
      <c r="H40" s="45">
        <f>F40*G40</f>
        <v>10800</v>
      </c>
      <c r="I40" s="48" t="str">
        <f t="shared" si="0"/>
        <v>퀘이커 마시는 오트밀 찰옥수수, 50g.jpg</v>
      </c>
      <c r="J40" s="44"/>
      <c r="K40" s="50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69">
        <v>41</v>
      </c>
      <c r="C41" s="61" t="s">
        <v>18</v>
      </c>
      <c r="D41" s="61" t="s">
        <v>20</v>
      </c>
      <c r="E41" s="44" t="s">
        <v>103</v>
      </c>
      <c r="F41" s="57">
        <v>8800</v>
      </c>
      <c r="G41" s="58">
        <v>1</v>
      </c>
      <c r="H41" s="45">
        <f>F41*G41</f>
        <v>8800</v>
      </c>
      <c r="I41" s="48" t="str">
        <f>_xlfn.CONCAT(E41, ".jpg")</f>
        <v>AHC 내추럴 퍼펙션 프레쉬선스틱.jpg</v>
      </c>
      <c r="J41" s="44"/>
      <c r="K41" s="50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2" spans="2:11" ht="14.4" customHeight="1">
      <c r="B42" s="69">
        <v>124</v>
      </c>
      <c r="C42" s="61" t="s">
        <v>18</v>
      </c>
      <c r="D42" s="61" t="s">
        <v>22</v>
      </c>
      <c r="E42" s="44" t="s">
        <v>381</v>
      </c>
      <c r="F42" s="57">
        <v>14590</v>
      </c>
      <c r="G42" s="58">
        <v>1</v>
      </c>
      <c r="H42" s="45">
        <f>F42*G42</f>
        <v>14590</v>
      </c>
      <c r="I42" s="48" t="str">
        <f>_xlfn.CONCAT(E42, ".jpg")</f>
        <v>AHC 에이치 멜라 루트 크림(AHC 기미크림).jpg</v>
      </c>
      <c r="J42" s="44"/>
      <c r="K42" s="50" t="str">
        <f t="shared" si="1"/>
        <v>{"ITM_SEQ":"124","TYPE":"화장품","TYPE_DTL":"영양크림","ITM_NM":"AHC 에이치 멜라 루트 크림(AHC 기미크림)","PRICE":"14590","UNIT":"1","":"14590","IMG":"AHC 에이치 멜라 루트 크림(AHC 기미크림).jpg"},</v>
      </c>
    </row>
    <row r="43" spans="2:11" ht="14.4" customHeight="1">
      <c r="B43" s="69">
        <v>42</v>
      </c>
      <c r="C43" s="61" t="s">
        <v>18</v>
      </c>
      <c r="D43" s="61" t="s">
        <v>21</v>
      </c>
      <c r="E43" s="44" t="s">
        <v>104</v>
      </c>
      <c r="F43" s="57">
        <v>5560</v>
      </c>
      <c r="G43" s="58">
        <v>1</v>
      </c>
      <c r="H43" s="45">
        <f>F43*G43</f>
        <v>5560</v>
      </c>
      <c r="I43" s="48" t="str">
        <f>_xlfn.CONCAT(E43, ".jpg")</f>
        <v>AHC프라이빗 리얼아이크림기프트세트.jpg</v>
      </c>
      <c r="J43" s="44"/>
      <c r="K43" s="50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4" spans="2:11" ht="14.4" customHeight="1">
      <c r="B44" s="68">
        <v>38</v>
      </c>
      <c r="C44" s="61" t="s">
        <v>18</v>
      </c>
      <c r="D44" s="61" t="s">
        <v>19</v>
      </c>
      <c r="E44" s="44" t="s">
        <v>100</v>
      </c>
      <c r="F44" s="57">
        <v>480</v>
      </c>
      <c r="G44" s="58">
        <v>10</v>
      </c>
      <c r="H44" s="45">
        <f>F44*G44</f>
        <v>4800</v>
      </c>
      <c r="I44" s="48" t="str">
        <f>_xlfn.CONCAT(E44, ".jpg")</f>
        <v>SNP 골드 콜라겐 앰플 마스크.jpg</v>
      </c>
      <c r="J44" s="44"/>
      <c r="K44" s="50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5" spans="2:11" ht="14.4" customHeight="1">
      <c r="B45" s="69">
        <v>49</v>
      </c>
      <c r="C45" s="61" t="s">
        <v>18</v>
      </c>
      <c r="D45" s="61" t="s">
        <v>24</v>
      </c>
      <c r="E45" s="44" t="s">
        <v>173</v>
      </c>
      <c r="F45" s="57">
        <v>4390</v>
      </c>
      <c r="G45" s="58">
        <v>1</v>
      </c>
      <c r="H45" s="45">
        <f>F45*G45</f>
        <v>4390</v>
      </c>
      <c r="I45" s="48" t="str">
        <f>_xlfn.CONCAT(E45, ".jpg")</f>
        <v>뉴트로지나 딥클린 아크네 포밍.jpg</v>
      </c>
      <c r="J45" s="44"/>
      <c r="K45" s="50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46" spans="2:11" ht="14.4" customHeight="1">
      <c r="B46" s="69">
        <v>58</v>
      </c>
      <c r="C46" s="61" t="s">
        <v>18</v>
      </c>
      <c r="D46" s="62" t="s">
        <v>375</v>
      </c>
      <c r="E46" s="30" t="s">
        <v>382</v>
      </c>
      <c r="F46" s="57">
        <v>3500</v>
      </c>
      <c r="G46" s="58">
        <v>1</v>
      </c>
      <c r="H46" s="45">
        <f>F46*G46</f>
        <v>3500</v>
      </c>
      <c r="I46" s="48" t="str">
        <f>_xlfn.CONCAT(E46, ".jpg")</f>
        <v>니베아 맨 센서티브 쉐이빙 폼, 250ml.jpg</v>
      </c>
      <c r="J46" s="44"/>
      <c r="K46" s="50" t="str">
        <f t="shared" si="1"/>
        <v>{"ITM_SEQ":"58","TYPE":"화장품","TYPE_DTL":"면도크림","ITM_NM":"니베아 맨 센서티브 쉐이빙 폼, 250ml","PRICE":"3500","UNIT":"1","":"3500","IMG":"니베아 맨 센서티브 쉐이빙 폼, 250ml.jpg"},</v>
      </c>
    </row>
    <row r="47" spans="2:11" ht="14.4" customHeight="1">
      <c r="B47" s="69">
        <v>47</v>
      </c>
      <c r="C47" s="61" t="s">
        <v>18</v>
      </c>
      <c r="D47" s="61" t="s">
        <v>22</v>
      </c>
      <c r="E47" s="44" t="s">
        <v>175</v>
      </c>
      <c r="F47" s="57">
        <v>38930</v>
      </c>
      <c r="G47" s="58">
        <v>1</v>
      </c>
      <c r="H47" s="45">
        <f>F47*G47</f>
        <v>38930</v>
      </c>
      <c r="I47" s="48" t="str">
        <f>_xlfn.CONCAT(E47, ".jpg")</f>
        <v>다이아몬드 리페어 퍼펙트 세트.jpg</v>
      </c>
      <c r="J47" s="44" t="s">
        <v>23</v>
      </c>
      <c r="K47" s="50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48" spans="2:11" ht="14.4" customHeight="1">
      <c r="B48" s="69">
        <v>121</v>
      </c>
      <c r="C48" s="61" t="s">
        <v>18</v>
      </c>
      <c r="D48" s="62" t="s">
        <v>377</v>
      </c>
      <c r="E48" s="30" t="s">
        <v>384</v>
      </c>
      <c r="F48" s="57">
        <v>10800</v>
      </c>
      <c r="G48" s="58">
        <v>1</v>
      </c>
      <c r="H48" s="45">
        <f>F48*G48</f>
        <v>10800</v>
      </c>
      <c r="I48" s="48" t="str">
        <f>_xlfn.CONCAT(E48, ".jpg")</f>
        <v>닥터자르트 바이탈 하이드라 솔루션 하이드로 플럼프 트리트먼트 에센스, 150ml.jpg</v>
      </c>
      <c r="J48" s="44"/>
      <c r="K48" s="50" t="str">
        <f t="shared" si="1"/>
        <v>{"ITM_SEQ":"121","TYPE":"화장품","TYPE_DTL":"에센스","ITM_NM":"닥터자르트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49" spans="2:11" ht="14.4" customHeight="1">
      <c r="B49" s="69">
        <v>118</v>
      </c>
      <c r="C49" s="61" t="s">
        <v>18</v>
      </c>
      <c r="D49" s="61" t="s">
        <v>20</v>
      </c>
      <c r="E49" s="30" t="s">
        <v>385</v>
      </c>
      <c r="F49" s="57">
        <v>7900</v>
      </c>
      <c r="G49" s="58">
        <v>1</v>
      </c>
      <c r="H49" s="45">
        <f>F49*G49</f>
        <v>7900</v>
      </c>
      <c r="I49" s="48" t="str">
        <f>_xlfn.CONCAT(E49, ".jpg")</f>
        <v>닥터지 그린 마일드 업 선 스틱, 20g.jpg</v>
      </c>
      <c r="J49" s="44"/>
      <c r="K49" s="50" t="str">
        <f t="shared" si="1"/>
        <v>{"ITM_SEQ":"118","TYPE":"화장품","TYPE_DTL":"선크림","ITM_NM":"닥터지 그린 마일드 업 선 스틱, 20g","PRICE":"7900","UNIT":"1","":"7900","IMG":"닥터지 그린 마일드 업 선 스틱, 20g.jpg"},</v>
      </c>
    </row>
    <row r="50" spans="2:11" ht="14.4" customHeight="1">
      <c r="B50" s="69">
        <v>127</v>
      </c>
      <c r="C50" s="61" t="s">
        <v>18</v>
      </c>
      <c r="D50" s="61" t="s">
        <v>22</v>
      </c>
      <c r="E50" s="30" t="s">
        <v>387</v>
      </c>
      <c r="F50" s="57">
        <v>11100</v>
      </c>
      <c r="G50" s="58">
        <v>1</v>
      </c>
      <c r="H50" s="45">
        <f>F50*G50</f>
        <v>11100</v>
      </c>
      <c r="I50" s="48" t="str">
        <f>_xlfn.CONCAT(E50, ".jpg")</f>
        <v>닥터지 더모이스처 배리어 D 로션, 200ml.jpg</v>
      </c>
      <c r="J50" s="44"/>
      <c r="K50" s="50" t="str">
        <f t="shared" si="1"/>
        <v>{"ITM_SEQ":"127","TYPE":"화장품","TYPE_DTL":"영양크림","ITM_NM":"닥터지 더모이스처 배리어 D 로션, 200ml","PRICE":"11100","UNIT":"1","":"11100","IMG":"닥터지 더모이스처 배리어 D 로션, 200ml.jpg"},</v>
      </c>
    </row>
    <row r="51" spans="2:11" ht="14.4" customHeight="1">
      <c r="B51" s="69">
        <v>48</v>
      </c>
      <c r="C51" s="61" t="s">
        <v>18</v>
      </c>
      <c r="D51" s="61" t="s">
        <v>24</v>
      </c>
      <c r="E51" s="44" t="s">
        <v>176</v>
      </c>
      <c r="F51" s="57">
        <v>4320</v>
      </c>
      <c r="G51" s="58">
        <v>1</v>
      </c>
      <c r="H51" s="45">
        <f>F51*G51</f>
        <v>4320</v>
      </c>
      <c r="I51" s="48" t="str">
        <f>_xlfn.CONCAT(E51, ".jpg")</f>
        <v>닥터지 레드 블레미쉬 모이스처 클렌징 폼.jpg</v>
      </c>
      <c r="J51" s="44"/>
      <c r="K51" s="50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69">
        <v>50</v>
      </c>
      <c r="C52" s="61" t="s">
        <v>18</v>
      </c>
      <c r="D52" s="61" t="s">
        <v>177</v>
      </c>
      <c r="E52" s="44" t="s">
        <v>178</v>
      </c>
      <c r="F52" s="57">
        <v>10140</v>
      </c>
      <c r="G52" s="58">
        <v>1</v>
      </c>
      <c r="H52" s="45">
        <f>F52*G52</f>
        <v>10140</v>
      </c>
      <c r="I52" s="48" t="str">
        <f>_xlfn.CONCAT(E52, ".jpg")</f>
        <v>닥터지 레드 블레미쉬 클리어 수딩 토너, 500ml.jpg</v>
      </c>
      <c r="J52" s="44"/>
      <c r="K52" s="50" t="str">
        <f t="shared" si="1"/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3" spans="2:11" ht="14.4" customHeight="1">
      <c r="B53" s="69">
        <v>128</v>
      </c>
      <c r="C53" s="61" t="s">
        <v>18</v>
      </c>
      <c r="D53" s="61" t="s">
        <v>22</v>
      </c>
      <c r="E53" s="49" t="s">
        <v>388</v>
      </c>
      <c r="F53" s="57">
        <v>6770</v>
      </c>
      <c r="G53" s="58">
        <v>1</v>
      </c>
      <c r="H53" s="45">
        <f>F53*G53</f>
        <v>6770</v>
      </c>
      <c r="I53" s="48" t="str">
        <f>_xlfn.CONCAT(E53, ".jpg")</f>
        <v>닥터지 레드 블레미쉬 클리어 크림, 70ml.jpg</v>
      </c>
      <c r="J53" s="44"/>
      <c r="K53" s="50" t="str">
        <f t="shared" si="1"/>
        <v>{"ITM_SEQ":"128","TYPE":"화장품","TYPE_DTL":"영양크림","ITM_NM":"닥터지 레드 블레미쉬 클리어 크림, 70ml","PRICE":"6770","UNIT":"1","":"6770","IMG":"닥터지 레드 블레미쉬 클리어 크림, 70ml.jpg"},</v>
      </c>
    </row>
    <row r="54" spans="2:11" ht="14.4" hidden="1" customHeight="1">
      <c r="B54" s="69">
        <v>51</v>
      </c>
      <c r="C54" s="61" t="s">
        <v>12</v>
      </c>
      <c r="D54" s="62" t="s">
        <v>219</v>
      </c>
      <c r="E54" s="44" t="s">
        <v>218</v>
      </c>
      <c r="F54" s="57">
        <v>21840</v>
      </c>
      <c r="G54" s="58">
        <v>1</v>
      </c>
      <c r="H54" s="45">
        <f>F54*G54</f>
        <v>21840</v>
      </c>
      <c r="I54" s="48" t="str">
        <f>_xlfn.CONCAT(E54, ".jpg")</f>
        <v>데체코 올리오 엑스트라버진.jpg</v>
      </c>
      <c r="J54" s="44"/>
      <c r="K54" s="50" t="str">
        <f t="shared" si="1"/>
        <v>{"ITM_SEQ":"51","TYPE":"식품","TYPE_DTL":"기타","ITM_NM":"데체코 올리오 엑스트라버진","PRICE":"21840","UNIT":"1","":"21840","IMG":"데체코 올리오 엑스트라버진.jpg"},</v>
      </c>
    </row>
    <row r="55" spans="2:11" ht="14.4" customHeight="1">
      <c r="B55" s="69">
        <v>129</v>
      </c>
      <c r="C55" s="61" t="s">
        <v>18</v>
      </c>
      <c r="D55" s="61" t="s">
        <v>22</v>
      </c>
      <c r="E55" s="30" t="s">
        <v>389</v>
      </c>
      <c r="F55" s="57">
        <v>21400</v>
      </c>
      <c r="G55" s="58">
        <v>1</v>
      </c>
      <c r="H55" s="45">
        <f>F55*G55</f>
        <v>21400</v>
      </c>
      <c r="I55" s="48" t="str">
        <f>_xlfn.CONCAT(E55, ".jpg")</f>
        <v>닥터지 로얄 블랙 스네일 탄력 스페셜 세트 (에센스 + 크림 + 아이크림 + 마스크팩).jpg</v>
      </c>
      <c r="J55" s="44"/>
      <c r="K55" s="50" t="str">
        <f t="shared" si="1"/>
        <v>{"ITM_SEQ":"129","TYPE":"화장품","TYPE_DTL":"영양크림","ITM_NM":"닥터지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56" spans="2:11" ht="14.4" customHeight="1">
      <c r="B56" s="69">
        <v>45</v>
      </c>
      <c r="C56" s="61" t="s">
        <v>18</v>
      </c>
      <c r="D56" s="61" t="s">
        <v>22</v>
      </c>
      <c r="E56" s="44" t="s">
        <v>179</v>
      </c>
      <c r="F56" s="57">
        <v>10080</v>
      </c>
      <c r="G56" s="58">
        <v>1</v>
      </c>
      <c r="H56" s="45">
        <f>F56*G56</f>
        <v>10080</v>
      </c>
      <c r="I56" s="48" t="str">
        <f>_xlfn.CONCAT(E56, ".jpg")</f>
        <v>닥터지 로얄 블랙스네일 크림.jpg</v>
      </c>
      <c r="J56" s="44"/>
      <c r="K56" s="50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57" spans="2:11" ht="14.4" customHeight="1">
      <c r="B57" s="69">
        <v>40</v>
      </c>
      <c r="C57" s="61" t="s">
        <v>18</v>
      </c>
      <c r="D57" s="61" t="s">
        <v>20</v>
      </c>
      <c r="E57" s="44" t="s">
        <v>180</v>
      </c>
      <c r="F57" s="57">
        <v>4750</v>
      </c>
      <c r="G57" s="58">
        <v>1</v>
      </c>
      <c r="H57" s="45">
        <f>F57*G57</f>
        <v>4750</v>
      </c>
      <c r="I57" s="48" t="str">
        <f>_xlfn.CONCAT(E57, ".jpg")</f>
        <v>닥터지 메디유브이 울트라 선 50ml.jpg</v>
      </c>
      <c r="J57" s="44"/>
      <c r="K57" s="50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58" spans="2:11" ht="14.4" customHeight="1">
      <c r="B58" s="69">
        <v>126</v>
      </c>
      <c r="C58" s="61" t="s">
        <v>18</v>
      </c>
      <c r="D58" s="61" t="s">
        <v>22</v>
      </c>
      <c r="E58" s="30" t="s">
        <v>383</v>
      </c>
      <c r="F58" s="57">
        <v>10080</v>
      </c>
      <c r="G58" s="58">
        <v>1</v>
      </c>
      <c r="H58" s="45">
        <f>F58*G58</f>
        <v>10080</v>
      </c>
      <c r="I58" s="48" t="str">
        <f>_xlfn.CONCAT(E58, ".jpg")</f>
        <v>닥터지 블랙 스네일크림, 50ml.jpg</v>
      </c>
      <c r="J58" s="44"/>
      <c r="K58" s="50" t="str">
        <f t="shared" ref="K58:K109" si="2">_xlfn.CONCAT("{""",$B$3,""":""",B58,""",""",$C$3,""":""",C58,""",""",$D$3,""":""",D58,""",""",$E$3,""":""",E58,""",""",$F$3,""":""",F58,""",""",$G$3,""":""",G58,""",""",$H$3,""":""",H58,""",""",$I$3,""":""",I58,"""},")</f>
        <v>{"ITM_SEQ":"126","TYPE":"화장품","TYPE_DTL":"영양크림","ITM_NM":"닥터지 블랙 스네일크림, 50ml","PRICE":"10080","UNIT":"1","":"10080","IMG":"닥터지 블랙 스네일크림, 50ml.jpg"},</v>
      </c>
    </row>
    <row r="59" spans="2:11" ht="14.4" customHeight="1">
      <c r="B59" s="69">
        <v>131</v>
      </c>
      <c r="C59" s="61" t="s">
        <v>18</v>
      </c>
      <c r="D59" s="61" t="s">
        <v>22</v>
      </c>
      <c r="E59" s="44" t="s">
        <v>243</v>
      </c>
      <c r="F59" s="57">
        <v>21010</v>
      </c>
      <c r="G59" s="58">
        <v>1</v>
      </c>
      <c r="H59" s="45">
        <f>F59*G59</f>
        <v>21010</v>
      </c>
      <c r="I59" s="48" t="str">
        <f>_xlfn.CONCAT(E59, ".jpg")</f>
        <v>듀이트리 울트라 바이탈라이징 스네일 달팽이 3종 세트.jpg</v>
      </c>
      <c r="J59" s="44"/>
      <c r="K59" s="50" t="str">
        <f t="shared" si="2"/>
        <v>{"ITM_SEQ":"131","TYPE":"화장품","TYPE_DTL":"영양크림","ITM_NM":"듀이트리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60" spans="2:11" ht="14.4" hidden="1" customHeight="1">
      <c r="B60" s="69">
        <v>59</v>
      </c>
      <c r="C60" s="66" t="s">
        <v>219</v>
      </c>
      <c r="D60" s="62" t="s">
        <v>380</v>
      </c>
      <c r="E60" s="44" t="s">
        <v>271</v>
      </c>
      <c r="F60" s="57">
        <v>4780</v>
      </c>
      <c r="G60" s="58">
        <v>1</v>
      </c>
      <c r="H60" s="45">
        <f>F60*G60</f>
        <v>4780</v>
      </c>
      <c r="I60" s="48" t="str">
        <f>_xlfn.CONCAT(E60, ".jpg")</f>
        <v>부케가르니 나드 샴푸 시그니처.jpg</v>
      </c>
      <c r="J60" s="44"/>
      <c r="K60" s="50" t="str">
        <f t="shared" si="2"/>
        <v>{"ITM_SEQ":"59","TYPE":"기타","TYPE_DTL":"미정","ITM_NM":"부케가르니 나드 샴푸 시그니처","PRICE":"4780","UNIT":"1","":"4780","IMG":"부케가르니 나드 샴푸 시그니처.jpg"},</v>
      </c>
    </row>
    <row r="61" spans="2:11" ht="14.4" customHeight="1">
      <c r="B61" s="69">
        <v>122</v>
      </c>
      <c r="C61" s="61" t="s">
        <v>18</v>
      </c>
      <c r="D61" s="62" t="s">
        <v>377</v>
      </c>
      <c r="E61" s="30" t="s">
        <v>391</v>
      </c>
      <c r="F61" s="57">
        <v>5700</v>
      </c>
      <c r="G61" s="58">
        <v>1</v>
      </c>
      <c r="H61" s="45">
        <f>F61*G61</f>
        <v>5700</v>
      </c>
      <c r="I61" s="48" t="str">
        <f>_xlfn.CONCAT(E61, ".jpg")</f>
        <v>듀이트리 울트라 바이탈라이징 스네일 에센스워터, 150ml.jpg</v>
      </c>
      <c r="J61" s="44"/>
      <c r="K61" s="50" t="str">
        <f t="shared" si="2"/>
        <v>{"ITM_SEQ":"122","TYPE":"화장품","TYPE_DTL":"에센스","ITM_NM":"듀이트리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62" spans="2:11" ht="14.4" customHeight="1">
      <c r="B62" s="69">
        <v>132</v>
      </c>
      <c r="C62" s="61" t="s">
        <v>18</v>
      </c>
      <c r="D62" s="61" t="s">
        <v>22</v>
      </c>
      <c r="E62" s="44" t="s">
        <v>244</v>
      </c>
      <c r="F62" s="57">
        <v>9880</v>
      </c>
      <c r="G62" s="58">
        <v>1</v>
      </c>
      <c r="H62" s="45">
        <f>F62*G62</f>
        <v>9880</v>
      </c>
      <c r="I62" s="48" t="str">
        <f>_xlfn.CONCAT(E62, ".jpg")</f>
        <v>듀이트리 울트라 바이탈라이징 스네일크림.jpg</v>
      </c>
      <c r="J62" s="44"/>
      <c r="K62" s="50" t="str">
        <f t="shared" si="2"/>
        <v>{"ITM_SEQ":"132","TYPE":"화장품","TYPE_DTL":"영양크림","ITM_NM":"듀이트리 울트라 바이탈라이징 스네일크림","PRICE":"9880","UNIT":"1","":"9880","IMG":"듀이트리 울트라 바이탈라이징 스네일크림.jpg"},</v>
      </c>
    </row>
    <row r="63" spans="2:11" ht="14.4" customHeight="1">
      <c r="B63" s="69">
        <v>120</v>
      </c>
      <c r="C63" s="61" t="s">
        <v>18</v>
      </c>
      <c r="D63" s="62" t="s">
        <v>376</v>
      </c>
      <c r="E63" s="44" t="s">
        <v>245</v>
      </c>
      <c r="F63" s="57">
        <v>5700</v>
      </c>
      <c r="G63" s="58">
        <v>1</v>
      </c>
      <c r="H63" s="45">
        <f>F63*G63</f>
        <v>5700</v>
      </c>
      <c r="I63" s="48" t="str">
        <f>_xlfn.CONCAT(E63, ".jpg")</f>
        <v>듀이트리 울트라바이탈라이징 스네일 에멀전.jpg</v>
      </c>
      <c r="J63" s="44"/>
      <c r="K63" s="50" t="str">
        <f t="shared" si="2"/>
        <v>{"ITM_SEQ":"120","TYPE":"화장품","TYPE_DTL":"에멀전","ITM_NM":"듀이트리 울트라바이탈라이징 스네일 에멀전","PRICE":"5700","UNIT":"1","":"5700","IMG":"듀이트리 울트라바이탈라이징 스네일 에멀전.jpg"},</v>
      </c>
    </row>
    <row r="64" spans="2:11" ht="14.4" customHeight="1">
      <c r="B64" s="69">
        <v>54</v>
      </c>
      <c r="C64" s="61" t="s">
        <v>18</v>
      </c>
      <c r="D64" s="61" t="s">
        <v>19</v>
      </c>
      <c r="E64" s="43" t="s">
        <v>390</v>
      </c>
      <c r="F64" s="57">
        <v>11800</v>
      </c>
      <c r="G64" s="58">
        <v>1</v>
      </c>
      <c r="H64" s="45">
        <f>F64*G64</f>
        <v>11800</v>
      </c>
      <c r="I64" s="48" t="str">
        <f>_xlfn.CONCAT(E64, ".jpg")</f>
        <v>라운드랩 1025 독도 수분 워터겔 마스크 30ml.jpg</v>
      </c>
      <c r="J64" s="44"/>
      <c r="K64" s="50" t="str">
        <f t="shared" si="2"/>
        <v>{"ITM_SEQ":"54","TYPE":"화장품","TYPE_DTL":"마스크팩","ITM_NM":"라운드랩 1025 독도 수분 워터겔 마스크 30ml","PRICE":"11800","UNIT":"1","":"11800","IMG":"라운드랩 1025 독도 수분 워터겔 마스크 30ml.jpg"},</v>
      </c>
    </row>
    <row r="65" spans="2:11" ht="14.4" customHeight="1">
      <c r="B65" s="69">
        <v>137</v>
      </c>
      <c r="C65" s="61" t="s">
        <v>18</v>
      </c>
      <c r="D65" s="61" t="s">
        <v>177</v>
      </c>
      <c r="E65" s="44" t="s">
        <v>247</v>
      </c>
      <c r="F65" s="57">
        <v>9000</v>
      </c>
      <c r="G65" s="58">
        <v>1</v>
      </c>
      <c r="H65" s="45">
        <f>F65*G65</f>
        <v>9000</v>
      </c>
      <c r="I65" s="48" t="str">
        <f>_xlfn.CONCAT(E65, ".jpg")</f>
        <v>라운드랩 1025 독도 토너 대용량, 500ml.jpg</v>
      </c>
      <c r="J65" s="44"/>
      <c r="K65" s="50" t="str">
        <f t="shared" si="2"/>
        <v>{"ITM_SEQ":"137","TYPE":"화장품","TYPE_DTL":"토너","ITM_NM":"라운드랩 1025 독도 토너 대용량, 500ml","PRICE":"9000","UNIT":"1","":"9000","IMG":"라운드랩 1025 독도 토너 대용량, 500ml.jpg"},</v>
      </c>
    </row>
    <row r="66" spans="2:11" ht="14.4" customHeight="1">
      <c r="B66" s="69">
        <v>133</v>
      </c>
      <c r="C66" s="61" t="s">
        <v>18</v>
      </c>
      <c r="D66" s="61" t="s">
        <v>22</v>
      </c>
      <c r="E66" s="30" t="s">
        <v>392</v>
      </c>
      <c r="F66" s="57">
        <v>10200</v>
      </c>
      <c r="G66" s="58">
        <v>1</v>
      </c>
      <c r="H66" s="45">
        <f>F66*G66</f>
        <v>10200</v>
      </c>
      <c r="I66" s="48" t="str">
        <f>_xlfn.CONCAT(E66, ".jpg")</f>
        <v>라운드랩 약콩 판테놀 크림, 80ml.jpg</v>
      </c>
      <c r="J66" s="44"/>
      <c r="K66" s="50" t="str">
        <f t="shared" si="2"/>
        <v>{"ITM_SEQ":"133","TYPE":"화장품","TYPE_DTL":"영양크림","ITM_NM":"라운드랩 약콩 판테놀 크림, 80ml","PRICE":"10200","UNIT":"1","":"10200","IMG":"라운드랩 약콩 판테놀 크림, 80ml.jpg"},</v>
      </c>
    </row>
    <row r="67" spans="2:11" ht="14.4" customHeight="1">
      <c r="B67" s="69">
        <v>43</v>
      </c>
      <c r="C67" s="61" t="s">
        <v>18</v>
      </c>
      <c r="D67" s="61" t="s">
        <v>22</v>
      </c>
      <c r="E67" s="44" t="s">
        <v>181</v>
      </c>
      <c r="F67" s="57">
        <v>4710</v>
      </c>
      <c r="G67" s="58">
        <v>1</v>
      </c>
      <c r="H67" s="45">
        <f>F67*G67</f>
        <v>4710</v>
      </c>
      <c r="I67" s="48" t="str">
        <f>_xlfn.CONCAT(E67, ".jpg")</f>
        <v>마녀공장 비피다 바이옴 수분 장벽 강화 크림 기획세트.jpg</v>
      </c>
      <c r="J67" s="44"/>
      <c r="K67" s="50" t="str">
        <f t="shared" si="2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68" spans="2:11" ht="14.4" customHeight="1">
      <c r="B68" s="69">
        <v>139</v>
      </c>
      <c r="C68" s="61" t="s">
        <v>18</v>
      </c>
      <c r="D68" s="61" t="s">
        <v>24</v>
      </c>
      <c r="E68" s="30" t="s">
        <v>393</v>
      </c>
      <c r="F68" s="57">
        <v>3750</v>
      </c>
      <c r="G68" s="58">
        <v>1</v>
      </c>
      <c r="H68" s="45">
        <f>F68*G68</f>
        <v>3750</v>
      </c>
      <c r="I68" s="48" t="str">
        <f>_xlfn.CONCAT(E68, ".jpg")</f>
        <v>마녀공장 퓨리파잉 소다폼, 150ml.jpg</v>
      </c>
      <c r="J68" s="44"/>
      <c r="K68" s="50" t="str">
        <f t="shared" si="2"/>
        <v>{"ITM_SEQ":"139","TYPE":"화장품","TYPE_DTL":"폼클렌징","ITM_NM":"마녀공장 퓨리파잉 소다폼, 150ml","PRICE":"3750","UNIT":"1","":"3750","IMG":"마녀공장 퓨리파잉 소다폼, 150ml.jpg"},</v>
      </c>
    </row>
    <row r="69" spans="2:11" ht="14.4" customHeight="1">
      <c r="B69" s="69">
        <v>56</v>
      </c>
      <c r="C69" s="61" t="s">
        <v>18</v>
      </c>
      <c r="D69" s="61" t="s">
        <v>19</v>
      </c>
      <c r="E69" s="44" t="s">
        <v>254</v>
      </c>
      <c r="F69" s="57">
        <v>8000</v>
      </c>
      <c r="G69" s="58">
        <v>1</v>
      </c>
      <c r="H69" s="45">
        <f>F69*G69</f>
        <v>8000</v>
      </c>
      <c r="I69" s="48" t="str">
        <f>_xlfn.CONCAT(E69, ".jpg")</f>
        <v>메디힐 WHP 미백수분 블랙마스크.jpg</v>
      </c>
      <c r="J69" s="44"/>
      <c r="K69" s="50" t="str">
        <f t="shared" si="2"/>
        <v>{"ITM_SEQ":"56","TYPE":"화장품","TYPE_DTL":"마스크팩","ITM_NM":"메디힐 WHP 미백수분 블랙마스크","PRICE":"8000","UNIT":"1","":"8000","IMG":"메디힐 WHP 미백수분 블랙마스크.jpg"},</v>
      </c>
    </row>
    <row r="70" spans="2:11" ht="14.4" customHeight="1">
      <c r="B70" s="69">
        <v>57</v>
      </c>
      <c r="C70" s="61" t="s">
        <v>18</v>
      </c>
      <c r="D70" s="61" t="s">
        <v>19</v>
      </c>
      <c r="E70" s="44" t="s">
        <v>255</v>
      </c>
      <c r="F70" s="57">
        <v>800</v>
      </c>
      <c r="G70" s="58">
        <v>10</v>
      </c>
      <c r="H70" s="45">
        <f>F70*G70</f>
        <v>8000</v>
      </c>
      <c r="I70" s="48" t="str">
        <f>_xlfn.CONCAT(E70, ".jpg")</f>
        <v>메디힐 더블유에이치피 미백수분 블랙마스크.jpg</v>
      </c>
      <c r="J70" s="44"/>
      <c r="K70" s="50" t="str">
        <f t="shared" si="2"/>
        <v>{"ITM_SEQ":"57","TYPE":"화장품","TYPE_DTL":"마스크팩","ITM_NM":"메디힐 더블유에이치피 미백수분 블랙마스크","PRICE":"800","UNIT":"10","":"8000","IMG":"메디힐 더블유에이치피 미백수분 블랙마스크.jpg"},</v>
      </c>
    </row>
    <row r="71" spans="2:11" ht="14.4" customHeight="1">
      <c r="B71" s="69">
        <v>39</v>
      </c>
      <c r="C71" s="61" t="s">
        <v>18</v>
      </c>
      <c r="D71" s="61" t="s">
        <v>19</v>
      </c>
      <c r="E71" s="44" t="s">
        <v>183</v>
      </c>
      <c r="F71" s="57">
        <v>700</v>
      </c>
      <c r="G71" s="58">
        <v>10</v>
      </c>
      <c r="H71" s="45">
        <f>F71*G71</f>
        <v>7000</v>
      </c>
      <c r="I71" s="48" t="str">
        <f>_xlfn.CONCAT(E71, ".jpg")</f>
        <v>메디힐 디엔에이 프로아틴 마스크.jpg</v>
      </c>
      <c r="J71" s="44"/>
      <c r="K71" s="50" t="str">
        <f t="shared" si="2"/>
        <v>{"ITM_SEQ":"39","TYPE":"화장품","TYPE_DTL":"마스크팩","ITM_NM":"메디힐 디엔에이 프로아틴 마스크","PRICE":"700","UNIT":"10","":"7000","IMG":"메디힐 디엔에이 프로아틴 마스크.jpg"},</v>
      </c>
    </row>
    <row r="72" spans="2:11" ht="14.4" customHeight="1">
      <c r="B72" s="69">
        <v>53</v>
      </c>
      <c r="C72" s="61" t="s">
        <v>18</v>
      </c>
      <c r="D72" s="62" t="s">
        <v>378</v>
      </c>
      <c r="E72" s="44" t="s">
        <v>262</v>
      </c>
      <c r="F72" s="57">
        <v>5000</v>
      </c>
      <c r="G72" s="58">
        <v>1</v>
      </c>
      <c r="H72" s="45">
        <f>F72*G72</f>
        <v>5000</v>
      </c>
      <c r="I72" s="48" t="str">
        <f>_xlfn.CONCAT(E72, ".jpg")</f>
        <v>바세린리프팅리페어로션.jpg</v>
      </c>
      <c r="J72" s="44"/>
      <c r="K72" s="50" t="str">
        <f t="shared" si="2"/>
        <v>{"ITM_SEQ":"53","TYPE":"화장품","TYPE_DTL":"로션","ITM_NM":"바세린리프팅리페어로션","PRICE":"5000","UNIT":"1","":"5000","IMG":"바세린리프팅리페어로션.jpg"},</v>
      </c>
    </row>
    <row r="73" spans="2:11" ht="14.4" customHeight="1">
      <c r="B73" s="69">
        <v>60</v>
      </c>
      <c r="C73" s="61" t="s">
        <v>18</v>
      </c>
      <c r="D73" s="62" t="s">
        <v>380</v>
      </c>
      <c r="E73" s="44" t="s">
        <v>275</v>
      </c>
      <c r="F73" s="57">
        <v>6910</v>
      </c>
      <c r="G73" s="58">
        <v>1</v>
      </c>
      <c r="H73" s="45">
        <f>F73*G73</f>
        <v>6910</v>
      </c>
      <c r="I73" s="48" t="str">
        <f>_xlfn.CONCAT(E73, ".jpg")</f>
        <v>비알티씨 파워옴므올인원솔루션기획세트.jpg</v>
      </c>
      <c r="J73" s="44"/>
      <c r="K73" s="50" t="str">
        <f t="shared" si="2"/>
        <v>{"ITM_SEQ":"60","TYPE":"화장품","TYPE_DTL":"미정","ITM_NM":"비알티씨 파워옴므올인원솔루션기획세트","PRICE":"6910","UNIT":"1","":"6910","IMG":"비알티씨 파워옴므올인원솔루션기획세트.jpg"},</v>
      </c>
    </row>
    <row r="74" spans="2:11" ht="14.4" customHeight="1">
      <c r="B74" s="69">
        <v>61</v>
      </c>
      <c r="C74" s="61" t="s">
        <v>18</v>
      </c>
      <c r="D74" s="62" t="s">
        <v>380</v>
      </c>
      <c r="E74" s="44" t="s">
        <v>367</v>
      </c>
      <c r="F74" s="57">
        <v>7150</v>
      </c>
      <c r="G74" s="58">
        <v>1</v>
      </c>
      <c r="H74" s="45">
        <f>F74*G74</f>
        <v>7150</v>
      </c>
      <c r="I74" s="48" t="str">
        <f>_xlfn.CONCAT(E74, ".jpg")</f>
        <v>비욘드 바디 디펜스 샤워바스.jpg</v>
      </c>
      <c r="J74" s="44"/>
      <c r="K74" s="50" t="str">
        <f t="shared" si="2"/>
        <v>{"ITM_SEQ":"61","TYPE":"화장품","TYPE_DTL":"미정","ITM_NM":"비욘드 바디 디펜스 샤워바스","PRICE":"7150","UNIT":"1","":"7150","IMG":"비욘드 바디 디펜스 샤워바스.jpg"},</v>
      </c>
    </row>
    <row r="75" spans="2:11" ht="14.4" customHeight="1">
      <c r="B75" s="69">
        <v>62</v>
      </c>
      <c r="C75" s="61" t="s">
        <v>18</v>
      </c>
      <c r="D75" s="62" t="s">
        <v>380</v>
      </c>
      <c r="E75" s="44" t="s">
        <v>276</v>
      </c>
      <c r="F75" s="57">
        <v>10890</v>
      </c>
      <c r="G75" s="58">
        <v>1</v>
      </c>
      <c r="H75" s="45">
        <f>F75*G75</f>
        <v>10890</v>
      </c>
      <c r="I75" s="48" t="str">
        <f>_xlfn.CONCAT(E75, ".jpg")</f>
        <v>비욘드 바디 디펜스 에멀전.jpg</v>
      </c>
      <c r="J75" s="44"/>
      <c r="K75" s="50" t="str">
        <f t="shared" si="2"/>
        <v>{"ITM_SEQ":"62","TYPE":"화장품","TYPE_DTL":"미정","ITM_NM":"비욘드 바디 디펜스 에멀전","PRICE":"10890","UNIT":"1","":"10890","IMG":"비욘드 바디 디펜스 에멀전.jpg"},</v>
      </c>
    </row>
    <row r="76" spans="2:11" ht="14.4" customHeight="1">
      <c r="B76" s="69">
        <v>63</v>
      </c>
      <c r="C76" s="61" t="s">
        <v>18</v>
      </c>
      <c r="D76" s="62" t="s">
        <v>380</v>
      </c>
      <c r="E76" s="44" t="s">
        <v>277</v>
      </c>
      <c r="F76" s="57">
        <v>6460</v>
      </c>
      <c r="G76" s="58">
        <v>1</v>
      </c>
      <c r="H76" s="45">
        <f>F76*G76</f>
        <v>6460</v>
      </c>
      <c r="I76" s="48" t="str">
        <f>_xlfn.CONCAT(E76, ".jpg")</f>
        <v>비원즈 피토 콜라겐 아이세럼스틱.jpg</v>
      </c>
      <c r="J76" s="44"/>
      <c r="K76" s="50" t="str">
        <f t="shared" si="2"/>
        <v>{"ITM_SEQ":"63","TYPE":"화장품","TYPE_DTL":"미정","ITM_NM":"비원즈 피토 콜라겐 아이세럼스틱","PRICE":"6460","UNIT":"1","":"6460","IMG":"비원즈 피토 콜라겐 아이세럼스틱.jpg"},</v>
      </c>
    </row>
    <row r="77" spans="2:11" ht="14.4" customHeight="1">
      <c r="B77" s="69">
        <v>64</v>
      </c>
      <c r="C77" s="61" t="s">
        <v>18</v>
      </c>
      <c r="D77" s="62" t="s">
        <v>380</v>
      </c>
      <c r="E77" s="44" t="s">
        <v>283</v>
      </c>
      <c r="F77" s="57">
        <v>4900</v>
      </c>
      <c r="G77" s="58">
        <v>1</v>
      </c>
      <c r="H77" s="45">
        <f>F77*G77</f>
        <v>4900</v>
      </c>
      <c r="I77" s="48" t="str">
        <f>_xlfn.CONCAT(E77, ".jpg")</f>
        <v>센카 퍼팩트 휩 페이셜 워시.jpg</v>
      </c>
      <c r="J77" s="44"/>
      <c r="K77" s="50" t="str">
        <f t="shared" si="2"/>
        <v>{"ITM_SEQ":"64","TYPE":"화장품","TYPE_DTL":"미정","ITM_NM":"센카 퍼팩트 휩 페이셜 워시","PRICE":"4900","UNIT":"1","":"4900","IMG":"센카 퍼팩트 휩 페이셜 워시.jpg"},</v>
      </c>
    </row>
    <row r="78" spans="2:11" ht="14.4" customHeight="1">
      <c r="B78" s="69">
        <v>65</v>
      </c>
      <c r="C78" s="61" t="s">
        <v>18</v>
      </c>
      <c r="D78" s="62" t="s">
        <v>380</v>
      </c>
      <c r="E78" s="44" t="s">
        <v>284</v>
      </c>
      <c r="F78" s="57">
        <v>10000</v>
      </c>
      <c r="G78" s="58">
        <v>1</v>
      </c>
      <c r="H78" s="45">
        <f>F78*G78</f>
        <v>10000</v>
      </c>
      <c r="I78" s="48" t="str">
        <f>_xlfn.CONCAT(E78, ".jpg")</f>
        <v>센텔리안 24 마데카 베리어 바디로션.jpg</v>
      </c>
      <c r="J78" s="44"/>
      <c r="K78" s="50" t="str">
        <f t="shared" si="2"/>
        <v>{"ITM_SEQ":"65","TYPE":"화장품","TYPE_DTL":"미정","ITM_NM":"센텔리안 24 마데카 베리어 바디로션","PRICE":"10000","UNIT":"1","":"10000","IMG":"센텔리안 24 마데카 베리어 바디로션.jpg"},</v>
      </c>
    </row>
    <row r="79" spans="2:11" ht="14.4" customHeight="1">
      <c r="B79" s="69">
        <v>66</v>
      </c>
      <c r="C79" s="61" t="s">
        <v>18</v>
      </c>
      <c r="D79" s="62" t="s">
        <v>380</v>
      </c>
      <c r="E79" s="44" t="s">
        <v>285</v>
      </c>
      <c r="F79" s="57">
        <v>6900</v>
      </c>
      <c r="G79" s="58">
        <v>1</v>
      </c>
      <c r="H79" s="45">
        <f>F79*G79</f>
        <v>6900</v>
      </c>
      <c r="I79" s="48" t="str">
        <f>_xlfn.CONCAT(E79, ".jpg")</f>
        <v>센텔리안 24 마데카 옴프 올인원.jpg</v>
      </c>
      <c r="J79" s="44"/>
      <c r="K79" s="50" t="str">
        <f t="shared" si="2"/>
        <v>{"ITM_SEQ":"66","TYPE":"화장품","TYPE_DTL":"미정","ITM_NM":"센텔리안 24 마데카 옴프 올인원","PRICE":"6900","UNIT":"1","":"6900","IMG":"센텔리안 24 마데카 옴프 올인원.jpg"},</v>
      </c>
    </row>
    <row r="80" spans="2:11" ht="14.4" customHeight="1">
      <c r="B80" s="69">
        <v>67</v>
      </c>
      <c r="C80" s="61" t="s">
        <v>18</v>
      </c>
      <c r="D80" s="62" t="s">
        <v>380</v>
      </c>
      <c r="E80" s="44" t="s">
        <v>286</v>
      </c>
      <c r="F80" s="57">
        <v>10900</v>
      </c>
      <c r="G80" s="58">
        <v>1</v>
      </c>
      <c r="H80" s="45">
        <f>F80*G80</f>
        <v>10900</v>
      </c>
      <c r="I80" s="48" t="str">
        <f>_xlfn.CONCAT(E80, ".jpg")</f>
        <v>센텔리안24 링클셀 코어 아이크림.jpg</v>
      </c>
      <c r="J80" s="44"/>
      <c r="K80" s="50" t="str">
        <f t="shared" si="2"/>
        <v>{"ITM_SEQ":"67","TYPE":"화장품","TYPE_DTL":"미정","ITM_NM":"센텔리안24 링클셀 코어 아이크림","PRICE":"10900","UNIT":"1","":"10900","IMG":"센텔리안24 링클셀 코어 아이크림.jpg"},</v>
      </c>
    </row>
    <row r="81" spans="2:11" ht="14.4" customHeight="1">
      <c r="B81" s="69">
        <v>68</v>
      </c>
      <c r="C81" s="61" t="s">
        <v>18</v>
      </c>
      <c r="D81" s="62" t="s">
        <v>380</v>
      </c>
      <c r="E81" s="44" t="s">
        <v>288</v>
      </c>
      <c r="F81" s="57">
        <v>8990</v>
      </c>
      <c r="G81" s="58">
        <v>1</v>
      </c>
      <c r="H81" s="45">
        <f>F81*G81</f>
        <v>8990</v>
      </c>
      <c r="I81" s="48" t="str">
        <f>_xlfn.CONCAT(E81, ".jpg")</f>
        <v>셀퓨전씨 데일리 리페어 레이저크림.jpg</v>
      </c>
      <c r="J81" s="44"/>
      <c r="K81" s="50" t="str">
        <f t="shared" si="2"/>
        <v>{"ITM_SEQ":"68","TYPE":"화장품","TYPE_DTL":"미정","ITM_NM":"셀퓨전씨 데일리 리페어 레이저크림","PRICE":"8990","UNIT":"1","":"8990","IMG":"셀퓨전씨 데일리 리페어 레이저크림.jpg"},</v>
      </c>
    </row>
    <row r="82" spans="2:11" ht="14.4" customHeight="1">
      <c r="B82" s="69">
        <v>69</v>
      </c>
      <c r="C82" s="61" t="s">
        <v>18</v>
      </c>
      <c r="D82" s="62" t="s">
        <v>380</v>
      </c>
      <c r="E82" s="44" t="s">
        <v>289</v>
      </c>
      <c r="F82" s="57">
        <v>4480</v>
      </c>
      <c r="G82" s="58">
        <v>1</v>
      </c>
      <c r="H82" s="45">
        <f>F82*G82</f>
        <v>4480</v>
      </c>
      <c r="I82" s="48" t="str">
        <f>_xlfn.CONCAT(E82, ".jpg")</f>
        <v>셀퓨젼시 카밍다운크림.jpg</v>
      </c>
      <c r="J82" s="44"/>
      <c r="K82" s="50" t="str">
        <f t="shared" si="2"/>
        <v>{"ITM_SEQ":"69","TYPE":"화장품","TYPE_DTL":"미정","ITM_NM":"셀퓨젼시 카밍다운크림","PRICE":"4480","UNIT":"1","":"4480","IMG":"셀퓨젼시 카밍다운크림.jpg"},</v>
      </c>
    </row>
    <row r="83" spans="2:11" ht="14.4" customHeight="1">
      <c r="B83" s="69">
        <v>70</v>
      </c>
      <c r="C83" s="61" t="s">
        <v>18</v>
      </c>
      <c r="D83" s="62" t="s">
        <v>380</v>
      </c>
      <c r="E83" s="44" t="s">
        <v>294</v>
      </c>
      <c r="F83" s="57">
        <v>7100</v>
      </c>
      <c r="G83" s="58">
        <v>1</v>
      </c>
      <c r="H83" s="45">
        <f>F83*G83</f>
        <v>7100</v>
      </c>
      <c r="I83" s="48" t="str">
        <f>_xlfn.CONCAT(E83, ".jpg")</f>
        <v>아누아 어성초 80 수분 진정 앰플.jpg</v>
      </c>
      <c r="J83" s="44"/>
      <c r="K83" s="50" t="str">
        <f t="shared" si="2"/>
        <v>{"ITM_SEQ":"70","TYPE":"화장품","TYPE_DTL":"미정","ITM_NM":"아누아 어성초 80 수분 진정 앰플","PRICE":"7100","UNIT":"1","":"7100","IMG":"아누아 어성초 80 수분 진정 앰플.jpg"},</v>
      </c>
    </row>
    <row r="84" spans="2:11" ht="14.4" customHeight="1">
      <c r="B84" s="69">
        <v>71</v>
      </c>
      <c r="C84" s="61" t="s">
        <v>18</v>
      </c>
      <c r="D84" s="62" t="s">
        <v>380</v>
      </c>
      <c r="E84" s="44" t="s">
        <v>295</v>
      </c>
      <c r="F84" s="57">
        <v>10360</v>
      </c>
      <c r="G84" s="58">
        <v>1</v>
      </c>
      <c r="H84" s="45">
        <f>F84*G84</f>
        <v>10360</v>
      </c>
      <c r="I84" s="48" t="str">
        <f>_xlfn.CONCAT(E84, ".jpg")</f>
        <v>아누아 어성초70 데일리 로션 200ml.jpg</v>
      </c>
      <c r="J84" s="44"/>
      <c r="K84" s="50" t="str">
        <f t="shared" si="2"/>
        <v>{"ITM_SEQ":"71","TYPE":"화장품","TYPE_DTL":"미정","ITM_NM":"아누아 어성초70 데일리 로션 200ml","PRICE":"10360","UNIT":"1","":"10360","IMG":"아누아 어성초70 데일리 로션 200ml.jpg"},</v>
      </c>
    </row>
    <row r="85" spans="2:11" ht="14.4" customHeight="1">
      <c r="B85" s="69">
        <v>72</v>
      </c>
      <c r="C85" s="61" t="s">
        <v>18</v>
      </c>
      <c r="D85" s="62" t="s">
        <v>380</v>
      </c>
      <c r="E85" s="44" t="s">
        <v>299</v>
      </c>
      <c r="F85" s="57">
        <v>9800</v>
      </c>
      <c r="G85" s="58">
        <v>1</v>
      </c>
      <c r="H85" s="45">
        <f>F85*G85</f>
        <v>9800</v>
      </c>
      <c r="I85" s="48" t="str">
        <f>_xlfn.CONCAT(E85, ".jpg")</f>
        <v>아비브 부활초 크림 뉴트리션 튜브.jpg</v>
      </c>
      <c r="J85" s="44"/>
      <c r="K85" s="50" t="str">
        <f t="shared" si="2"/>
        <v>{"ITM_SEQ":"72","TYPE":"화장품","TYPE_DTL":"미정","ITM_NM":"아비브 부활초 크림 뉴트리션 튜브","PRICE":"9800","UNIT":"1","":"9800","IMG":"아비브 부활초 크림 뉴트리션 튜브.jpg"},</v>
      </c>
    </row>
    <row r="86" spans="2:11" ht="14.4" customHeight="1">
      <c r="B86" s="69">
        <v>73</v>
      </c>
      <c r="C86" s="61" t="s">
        <v>18</v>
      </c>
      <c r="D86" s="62" t="s">
        <v>380</v>
      </c>
      <c r="E86" s="44" t="s">
        <v>300</v>
      </c>
      <c r="F86" s="57">
        <v>1500</v>
      </c>
      <c r="G86" s="58">
        <v>10</v>
      </c>
      <c r="H86" s="45">
        <f>F86*G86</f>
        <v>15000</v>
      </c>
      <c r="I86" s="48" t="str">
        <f>_xlfn.CONCAT(E86, ".jpg")</f>
        <v>아비브 수분초 콜라겐 젤 마스크팩 .jpg</v>
      </c>
      <c r="J86" s="44"/>
      <c r="K86" s="50" t="str">
        <f t="shared" si="2"/>
        <v>{"ITM_SEQ":"73","TYPE":"화장품","TYPE_DTL":"미정","ITM_NM":"아비브 수분초 콜라겐 젤 마스크팩 ","PRICE":"1500","UNIT":"10","":"15000","IMG":"아비브 수분초 콜라겐 젤 마스크팩 .jpg"},</v>
      </c>
    </row>
    <row r="87" spans="2:11" ht="14.4" customHeight="1">
      <c r="B87" s="69">
        <v>74</v>
      </c>
      <c r="C87" s="61" t="s">
        <v>18</v>
      </c>
      <c r="D87" s="62" t="s">
        <v>380</v>
      </c>
      <c r="E87" s="44" t="s">
        <v>301</v>
      </c>
      <c r="F87" s="57">
        <v>6210</v>
      </c>
      <c r="G87" s="58">
        <v>1</v>
      </c>
      <c r="H87" s="45">
        <f>F87*G87</f>
        <v>6210</v>
      </c>
      <c r="I87" s="48" t="str">
        <f>_xlfn.CONCAT(E87, ".jpg")</f>
        <v>아비브 아크네 폼 클렌저 어성초.jpg</v>
      </c>
      <c r="J87" s="44"/>
      <c r="K87" s="50" t="str">
        <f t="shared" si="2"/>
        <v>{"ITM_SEQ":"74","TYPE":"화장품","TYPE_DTL":"미정","ITM_NM":"아비브 아크네 폼 클렌저 어성초","PRICE":"6210","UNIT":"1","":"6210","IMG":"아비브 아크네 폼 클렌저 어성초.jpg"},</v>
      </c>
    </row>
    <row r="88" spans="2:11" ht="14.4" customHeight="1">
      <c r="B88" s="69">
        <v>75</v>
      </c>
      <c r="C88" s="61" t="s">
        <v>18</v>
      </c>
      <c r="D88" s="62" t="s">
        <v>380</v>
      </c>
      <c r="E88" s="44" t="s">
        <v>302</v>
      </c>
      <c r="F88" s="57">
        <v>1000</v>
      </c>
      <c r="G88" s="58">
        <v>20</v>
      </c>
      <c r="H88" s="45">
        <f>F88*G88</f>
        <v>20000</v>
      </c>
      <c r="I88" s="48" t="str">
        <f>_xlfn.CONCAT(E88, ".jpg")</f>
        <v>아비브 약산성 pH 시트 마스크.jpg</v>
      </c>
      <c r="J88" s="44"/>
      <c r="K88" s="50" t="str">
        <f t="shared" si="2"/>
        <v>{"ITM_SEQ":"75","TYPE":"화장품","TYPE_DTL":"미정","ITM_NM":"아비브 약산성 pH 시트 마스크","PRICE":"1000","UNIT":"20","":"20000","IMG":"아비브 약산성 pH 시트 마스크.jpg"},</v>
      </c>
    </row>
    <row r="89" spans="2:11" ht="14.4" customHeight="1">
      <c r="B89" s="69">
        <v>76</v>
      </c>
      <c r="C89" s="61" t="s">
        <v>18</v>
      </c>
      <c r="D89" s="62" t="s">
        <v>380</v>
      </c>
      <c r="E89" s="44" t="s">
        <v>303</v>
      </c>
      <c r="F89" s="57">
        <v>7990</v>
      </c>
      <c r="G89" s="58">
        <v>1</v>
      </c>
      <c r="H89" s="45">
        <f>F89*G89</f>
        <v>7990</v>
      </c>
      <c r="I89" s="48" t="str">
        <f>_xlfn.CONCAT(E89, ".jpg")</f>
        <v>아비브 어성초 에센스 카밍펌프.jpg</v>
      </c>
      <c r="J89" s="44"/>
      <c r="K89" s="50" t="str">
        <f t="shared" si="2"/>
        <v>{"ITM_SEQ":"76","TYPE":"화장품","TYPE_DTL":"미정","ITM_NM":"아비브 어성초 에센스 카밍펌프","PRICE":"7990","UNIT":"1","":"7990","IMG":"아비브 어성초 에센스 카밍펌프.jpg"},</v>
      </c>
    </row>
    <row r="90" spans="2:11" ht="14.4" customHeight="1">
      <c r="B90" s="69">
        <v>77</v>
      </c>
      <c r="C90" s="61" t="s">
        <v>18</v>
      </c>
      <c r="D90" s="62" t="s">
        <v>380</v>
      </c>
      <c r="E90" s="44" t="s">
        <v>304</v>
      </c>
      <c r="F90" s="57">
        <v>1500</v>
      </c>
      <c r="G90" s="58">
        <v>30</v>
      </c>
      <c r="H90" s="45">
        <f>F90*G90</f>
        <v>45000</v>
      </c>
      <c r="I90" s="48" t="str">
        <f>_xlfn.CONCAT(E90, ".jpg")</f>
        <v>아비브 콜라겐 겔마스크 수분초 젤.jpg</v>
      </c>
      <c r="J90" s="44"/>
      <c r="K90" s="50" t="str">
        <f t="shared" si="2"/>
        <v>{"ITM_SEQ":"77","TYPE":"화장품","TYPE_DTL":"미정","ITM_NM":"아비브 콜라겐 겔마스크 수분초 젤","PRICE":"1500","UNIT":"30","":"45000","IMG":"아비브 콜라겐 겔마스크 수분초 젤.jpg"},</v>
      </c>
    </row>
    <row r="91" spans="2:11" ht="14.4" customHeight="1">
      <c r="B91" s="69">
        <v>78</v>
      </c>
      <c r="C91" s="61" t="s">
        <v>18</v>
      </c>
      <c r="D91" s="62" t="s">
        <v>380</v>
      </c>
      <c r="E91" s="44" t="s">
        <v>368</v>
      </c>
      <c r="F91" s="57">
        <v>9800</v>
      </c>
      <c r="G91" s="58">
        <v>1</v>
      </c>
      <c r="H91" s="45">
        <f>F91*G91</f>
        <v>9800</v>
      </c>
      <c r="I91" s="48" t="str">
        <f>_xlfn.CONCAT(E91, ".jpg")</f>
        <v>아이브 부활초 크림 뉴트리션 튜브.jpg</v>
      </c>
      <c r="J91" s="44"/>
      <c r="K91" s="50" t="str">
        <f t="shared" si="2"/>
        <v>{"ITM_SEQ":"78","TYPE":"화장품","TYPE_DTL":"미정","ITM_NM":"아이브 부활초 크림 뉴트리션 튜브","PRICE":"9800","UNIT":"1","":"9800","IMG":"아이브 부활초 크림 뉴트리션 튜브.jpg"},</v>
      </c>
    </row>
    <row r="92" spans="2:11" ht="14.4" customHeight="1">
      <c r="B92" s="69">
        <v>79</v>
      </c>
      <c r="C92" s="61" t="s">
        <v>18</v>
      </c>
      <c r="D92" s="62" t="s">
        <v>380</v>
      </c>
      <c r="E92" s="44" t="s">
        <v>369</v>
      </c>
      <c r="F92" s="57">
        <v>11390</v>
      </c>
      <c r="G92" s="58">
        <v>1</v>
      </c>
      <c r="H92" s="45">
        <f>F92*G92</f>
        <v>11390</v>
      </c>
      <c r="I92" s="48" t="str">
        <f>_xlfn.CONCAT(E92, ".jpg")</f>
        <v>아이소이 블레미쉬 케어 업 크림.jpg</v>
      </c>
      <c r="J92" s="44"/>
      <c r="K92" s="50" t="str">
        <f t="shared" si="2"/>
        <v>{"ITM_SEQ":"79","TYPE":"화장품","TYPE_DTL":"미정","ITM_NM":"아이소이 블레미쉬 케어 업 크림","PRICE":"11390","UNIT":"1","":"11390","IMG":"아이소이 블레미쉬 케어 업 크림.jpg"},</v>
      </c>
    </row>
    <row r="93" spans="2:11" ht="14.4" hidden="1" customHeight="1">
      <c r="B93" s="69">
        <v>92</v>
      </c>
      <c r="C93" s="61" t="s">
        <v>12</v>
      </c>
      <c r="D93" s="62" t="s">
        <v>380</v>
      </c>
      <c r="E93" s="44" t="s">
        <v>220</v>
      </c>
      <c r="F93" s="57">
        <v>3140</v>
      </c>
      <c r="G93" s="58">
        <v>1</v>
      </c>
      <c r="H93" s="45">
        <f>F93*G93</f>
        <v>3140</v>
      </c>
      <c r="I93" s="48" t="str">
        <f>_xlfn.CONCAT(E93, ".jpg")</f>
        <v>(영외)프리미엄 굴소스.jpg</v>
      </c>
      <c r="J93" s="44"/>
      <c r="K93" s="50" t="str">
        <f t="shared" si="2"/>
        <v>{"ITM_SEQ":"92","TYPE":"식품","TYPE_DTL":"미정","ITM_NM":"(영외)프리미엄 굴소스","PRICE":"3140","UNIT":"1","":"3140","IMG":"(영외)프리미엄 굴소스.jpg"},</v>
      </c>
    </row>
    <row r="94" spans="2:11" ht="14.4" hidden="1" customHeight="1">
      <c r="B94" s="69">
        <v>93</v>
      </c>
      <c r="C94" s="61" t="s">
        <v>12</v>
      </c>
      <c r="D94" s="62" t="s">
        <v>380</v>
      </c>
      <c r="E94" s="44" t="s">
        <v>224</v>
      </c>
      <c r="F94" s="57">
        <v>2470</v>
      </c>
      <c r="G94" s="58">
        <v>1</v>
      </c>
      <c r="H94" s="45">
        <f>F94*G94</f>
        <v>2470</v>
      </c>
      <c r="I94" s="48" t="str">
        <f>_xlfn.CONCAT(E94, ".jpg")</f>
        <v>2배사과식초.jpg</v>
      </c>
      <c r="J94" s="44"/>
      <c r="K94" s="50" t="str">
        <f t="shared" si="2"/>
        <v>{"ITM_SEQ":"93","TYPE":"식품","TYPE_DTL":"미정","ITM_NM":"2배사과식초","PRICE":"2470","UNIT":"1","":"2470","IMG":"2배사과식초.jpg"},</v>
      </c>
    </row>
    <row r="95" spans="2:11" ht="14.4" hidden="1" customHeight="1">
      <c r="B95" s="69">
        <v>94</v>
      </c>
      <c r="C95" s="61" t="s">
        <v>12</v>
      </c>
      <c r="D95" s="62" t="s">
        <v>380</v>
      </c>
      <c r="E95" s="44" t="s">
        <v>227</v>
      </c>
      <c r="F95" s="57">
        <v>1500</v>
      </c>
      <c r="G95" s="58">
        <v>1</v>
      </c>
      <c r="H95" s="45">
        <f>F95*G95</f>
        <v>1500</v>
      </c>
      <c r="I95" s="48" t="str">
        <f>_xlfn.CONCAT(E95, ".jpg")</f>
        <v>가쓰오부시 장국.jpg</v>
      </c>
      <c r="J95" s="44"/>
      <c r="K95" s="50" t="str">
        <f t="shared" si="2"/>
        <v>{"ITM_SEQ":"94","TYPE":"식품","TYPE_DTL":"미정","ITM_NM":"가쓰오부시 장국","PRICE":"1500","UNIT":"1","":"1500","IMG":"가쓰오부시 장국.jpg"},</v>
      </c>
    </row>
    <row r="96" spans="2:11" ht="14.4" hidden="1" customHeight="1">
      <c r="B96" s="69">
        <v>95</v>
      </c>
      <c r="C96" s="61" t="s">
        <v>12</v>
      </c>
      <c r="D96" s="62" t="s">
        <v>380</v>
      </c>
      <c r="E96" s="44" t="s">
        <v>230</v>
      </c>
      <c r="F96" s="57">
        <v>2990</v>
      </c>
      <c r="G96" s="58">
        <v>1</v>
      </c>
      <c r="H96" s="45">
        <f>F96*G96</f>
        <v>2990</v>
      </c>
      <c r="I96" s="48" t="str">
        <f>_xlfn.CONCAT(E96, ".jpg")</f>
        <v>고소한 건강색각 참기름.jpg</v>
      </c>
      <c r="J96" s="44"/>
      <c r="K96" s="50" t="str">
        <f t="shared" si="2"/>
        <v>{"ITM_SEQ":"95","TYPE":"식품","TYPE_DTL":"미정","ITM_NM":"고소한 건강색각 참기름","PRICE":"2990","UNIT":"1","":"2990","IMG":"고소한 건강색각 참기름.jpg"},</v>
      </c>
    </row>
    <row r="97" spans="2:11" ht="14.4" hidden="1" customHeight="1">
      <c r="B97" s="69">
        <v>96</v>
      </c>
      <c r="C97" s="61" t="s">
        <v>12</v>
      </c>
      <c r="D97" s="62" t="s">
        <v>380</v>
      </c>
      <c r="E97" s="44" t="s">
        <v>232</v>
      </c>
      <c r="F97" s="57">
        <v>3950</v>
      </c>
      <c r="G97" s="58">
        <v>1</v>
      </c>
      <c r="H97" s="45">
        <f>F97*G97</f>
        <v>3950</v>
      </c>
      <c r="I97" s="48" t="str">
        <f>_xlfn.CONCAT(E97, ".jpg")</f>
        <v>까먹는 과즙특젤리 망고젤리.jpg</v>
      </c>
      <c r="J97" s="44"/>
      <c r="K97" s="50" t="str">
        <f t="shared" si="2"/>
        <v>{"ITM_SEQ":"96","TYPE":"식품","TYPE_DTL":"미정","ITM_NM":"까먹는 과즙특젤리 망고젤리","PRICE":"3950","UNIT":"1","":"3950","IMG":"까먹는 과즙특젤리 망고젤리.jpg"},</v>
      </c>
    </row>
    <row r="98" spans="2:11" ht="14.4" hidden="1" customHeight="1">
      <c r="B98" s="69">
        <v>97</v>
      </c>
      <c r="C98" s="61" t="s">
        <v>12</v>
      </c>
      <c r="D98" s="62" t="s">
        <v>380</v>
      </c>
      <c r="E98" s="44" t="s">
        <v>233</v>
      </c>
      <c r="F98" s="57">
        <v>530</v>
      </c>
      <c r="G98" s="58">
        <v>10</v>
      </c>
      <c r="H98" s="45">
        <f>F98*G98</f>
        <v>5300</v>
      </c>
      <c r="I98" s="48" t="str">
        <f>_xlfn.CONCAT(E98, ".jpg")</f>
        <v>까스활액.jpg</v>
      </c>
      <c r="J98" s="44"/>
      <c r="K98" s="50" t="str">
        <f t="shared" si="2"/>
        <v>{"ITM_SEQ":"97","TYPE":"식품","TYPE_DTL":"미정","ITM_NM":"까스활액","PRICE":"530","UNIT":"10","":"5300","IMG":"까스활액.jpg"},</v>
      </c>
    </row>
    <row r="99" spans="2:11" ht="14.4" hidden="1" customHeight="1">
      <c r="B99" s="69">
        <v>98</v>
      </c>
      <c r="C99" s="61" t="s">
        <v>12</v>
      </c>
      <c r="D99" s="62" t="s">
        <v>380</v>
      </c>
      <c r="E99" s="44" t="s">
        <v>234</v>
      </c>
      <c r="F99" s="57">
        <v>520</v>
      </c>
      <c r="G99" s="58">
        <v>20</v>
      </c>
      <c r="H99" s="45">
        <f>F99*G99</f>
        <v>10400</v>
      </c>
      <c r="I99" s="48" t="str">
        <f>_xlfn.CONCAT(E99, ".jpg")</f>
        <v>꼬마웨하스바닐라맛.jpg</v>
      </c>
      <c r="J99" s="44"/>
      <c r="K99" s="50" t="str">
        <f t="shared" si="2"/>
        <v>{"ITM_SEQ":"98","TYPE":"식품","TYPE_DTL":"미정","ITM_NM":"꼬마웨하스바닐라맛","PRICE":"520","UNIT":"20","":"10400","IMG":"꼬마웨하스바닐라맛.jpg"},</v>
      </c>
    </row>
    <row r="100" spans="2:11" ht="14.4" hidden="1" customHeight="1">
      <c r="B100" s="69">
        <v>99</v>
      </c>
      <c r="C100" s="61" t="s">
        <v>12</v>
      </c>
      <c r="D100" s="62" t="s">
        <v>380</v>
      </c>
      <c r="E100" s="44" t="s">
        <v>362</v>
      </c>
      <c r="F100" s="57">
        <v>2600</v>
      </c>
      <c r="G100" s="58">
        <v>1</v>
      </c>
      <c r="H100" s="45">
        <f>F100*G100</f>
        <v>2600</v>
      </c>
      <c r="I100" s="48" t="str">
        <f>_xlfn.CONCAT(E100, ".jpg")</f>
        <v>꽃샘 피어나 국화&amp;유자.jpg</v>
      </c>
      <c r="J100" s="44"/>
      <c r="K100" s="50" t="str">
        <f t="shared" si="2"/>
        <v>{"ITM_SEQ":"99","TYPE":"식품","TYPE_DTL":"미정","ITM_NM":"꽃샘 피어나 국화&amp;유자","PRICE":"2600","UNIT":"1","":"2600","IMG":"꽃샘 피어나 국화&amp;유자.jpg"},</v>
      </c>
    </row>
    <row r="101" spans="2:11" ht="14.4" hidden="1" customHeight="1">
      <c r="B101" s="69">
        <v>100</v>
      </c>
      <c r="C101" s="61" t="s">
        <v>12</v>
      </c>
      <c r="D101" s="62" t="s">
        <v>380</v>
      </c>
      <c r="E101" s="44" t="s">
        <v>235</v>
      </c>
      <c r="F101" s="57">
        <v>2280</v>
      </c>
      <c r="G101" s="58">
        <v>1</v>
      </c>
      <c r="H101" s="45">
        <f>F101*G101</f>
        <v>2280</v>
      </c>
      <c r="I101" s="48" t="str">
        <f>_xlfn.CONCAT(E101, ".jpg")</f>
        <v>꽃샘 피어나 히비스커스 자몽.jpg</v>
      </c>
      <c r="J101" s="44"/>
      <c r="K101" s="50" t="str">
        <f t="shared" si="2"/>
        <v>{"ITM_SEQ":"100","TYPE":"식품","TYPE_DTL":"미정","ITM_NM":"꽃샘 피어나 히비스커스 자몽","PRICE":"2280","UNIT":"1","":"2280","IMG":"꽃샘 피어나 히비스커스 자몽.jpg"},</v>
      </c>
    </row>
    <row r="102" spans="2:11" ht="14.4" hidden="1" customHeight="1">
      <c r="B102" s="69">
        <v>101</v>
      </c>
      <c r="C102" s="61" t="s">
        <v>12</v>
      </c>
      <c r="D102" s="62" t="s">
        <v>380</v>
      </c>
      <c r="E102" s="44" t="s">
        <v>236</v>
      </c>
      <c r="F102" s="57">
        <v>7670</v>
      </c>
      <c r="G102" s="58">
        <v>1</v>
      </c>
      <c r="H102" s="45">
        <f>F102*G102</f>
        <v>7670</v>
      </c>
      <c r="I102" s="48" t="str">
        <f>_xlfn.CONCAT(E102, ".jpg")</f>
        <v>꿀타이밍 야생화스틱15T.jpg</v>
      </c>
      <c r="J102" s="44"/>
      <c r="K102" s="50" t="str">
        <f t="shared" si="2"/>
        <v>{"ITM_SEQ":"101","TYPE":"식품","TYPE_DTL":"미정","ITM_NM":"꿀타이밍 야생화스틱15T","PRICE":"7670","UNIT":"1","":"7670","IMG":"꿀타이밍 야생화스틱15T.jpg"},</v>
      </c>
    </row>
    <row r="103" spans="2:11" ht="14.4" hidden="1" customHeight="1">
      <c r="B103" s="69">
        <v>102</v>
      </c>
      <c r="C103" s="61" t="s">
        <v>12</v>
      </c>
      <c r="D103" s="62" t="s">
        <v>380</v>
      </c>
      <c r="E103" s="44" t="s">
        <v>363</v>
      </c>
      <c r="F103" s="57">
        <v>350</v>
      </c>
      <c r="G103" s="58">
        <v>60</v>
      </c>
      <c r="H103" s="45">
        <f>F103*G103</f>
        <v>21000</v>
      </c>
      <c r="I103" s="48" t="str">
        <f>_xlfn.CONCAT(E103, ".jpg")</f>
        <v>나랑드사이다 245ml.jpg</v>
      </c>
      <c r="J103" s="44"/>
      <c r="K103" s="50" t="str">
        <f t="shared" si="2"/>
        <v>{"ITM_SEQ":"102","TYPE":"식품","TYPE_DTL":"미정","ITM_NM":"나랑드사이다 245ml","PRICE":"350","UNIT":"60","":"21000","IMG":"나랑드사이다 245ml.jpg"},</v>
      </c>
    </row>
    <row r="104" spans="2:11" ht="14.4" hidden="1" customHeight="1">
      <c r="B104" s="69">
        <v>103</v>
      </c>
      <c r="C104" s="61" t="s">
        <v>12</v>
      </c>
      <c r="D104" s="62" t="s">
        <v>380</v>
      </c>
      <c r="E104" s="44" t="s">
        <v>364</v>
      </c>
      <c r="F104" s="57">
        <v>370</v>
      </c>
      <c r="G104" s="58">
        <v>30</v>
      </c>
      <c r="H104" s="45">
        <f>F104*G104</f>
        <v>11100</v>
      </c>
      <c r="I104" s="48" t="str">
        <f>_xlfn.CONCAT(E104, ".jpg")</f>
        <v>나랑드사이다 그린애플 245ml.jpg</v>
      </c>
      <c r="J104" s="44"/>
      <c r="K104" s="50" t="str">
        <f t="shared" si="2"/>
        <v>{"ITM_SEQ":"103","TYPE":"식품","TYPE_DTL":"미정","ITM_NM":"나랑드사이다 그린애플 245ml","PRICE":"370","UNIT":"30","":"11100","IMG":"나랑드사이다 그린애플 245ml.jpg"},</v>
      </c>
    </row>
    <row r="105" spans="2:11" ht="14.4" hidden="1" customHeight="1">
      <c r="B105" s="69">
        <v>104</v>
      </c>
      <c r="C105" s="61" t="s">
        <v>12</v>
      </c>
      <c r="D105" s="62" t="s">
        <v>380</v>
      </c>
      <c r="E105" s="44" t="s">
        <v>365</v>
      </c>
      <c r="F105" s="57">
        <v>360</v>
      </c>
      <c r="G105" s="58">
        <v>30</v>
      </c>
      <c r="H105" s="45">
        <f>F105*G105</f>
        <v>10800</v>
      </c>
      <c r="I105" s="48" t="str">
        <f>_xlfn.CONCAT(E105, ".jpg")</f>
        <v>나랑드사이다 파인애플 245ml.jpg</v>
      </c>
      <c r="J105" s="44"/>
      <c r="K105" s="50" t="str">
        <f t="shared" si="2"/>
        <v>{"ITM_SEQ":"104","TYPE":"식품","TYPE_DTL":"미정","ITM_NM":"나랑드사이다 파인애플 245ml","PRICE":"360","UNIT":"30","":"10800","IMG":"나랑드사이다 파인애플 245ml.jpg"},</v>
      </c>
    </row>
    <row r="106" spans="2:11" ht="14.4" hidden="1" customHeight="1">
      <c r="B106" s="69">
        <v>105</v>
      </c>
      <c r="C106" s="61" t="s">
        <v>12</v>
      </c>
      <c r="D106" s="62" t="s">
        <v>380</v>
      </c>
      <c r="E106" s="44" t="s">
        <v>239</v>
      </c>
      <c r="F106" s="57">
        <v>430</v>
      </c>
      <c r="G106" s="58">
        <v>30</v>
      </c>
      <c r="H106" s="45">
        <f>F106*G106</f>
        <v>12900</v>
      </c>
      <c r="I106" s="48" t="str">
        <f>_xlfn.CONCAT(E106, ".jpg")</f>
        <v>데미소다 복숭아.jpg</v>
      </c>
      <c r="J106" s="44"/>
      <c r="K106" s="50" t="str">
        <f t="shared" si="2"/>
        <v>{"ITM_SEQ":"105","TYPE":"식품","TYPE_DTL":"미정","ITM_NM":"데미소다 복숭아","PRICE":"430","UNIT":"30","":"12900","IMG":"데미소다 복숭아.jpg"},</v>
      </c>
    </row>
    <row r="107" spans="2:11" ht="14.4" hidden="1" customHeight="1">
      <c r="B107" s="69">
        <v>106</v>
      </c>
      <c r="C107" s="61" t="s">
        <v>12</v>
      </c>
      <c r="D107" s="62" t="s">
        <v>380</v>
      </c>
      <c r="E107" s="44" t="s">
        <v>241</v>
      </c>
      <c r="F107" s="57">
        <v>4360</v>
      </c>
      <c r="G107" s="58">
        <v>1</v>
      </c>
      <c r="H107" s="45">
        <f>F107*G107</f>
        <v>4360</v>
      </c>
      <c r="I107" s="48" t="str">
        <f>_xlfn.CONCAT(E107, ".jpg")</f>
        <v>동원 고추참치 90*4.jpg</v>
      </c>
      <c r="J107" s="44"/>
      <c r="K107" s="50" t="str">
        <f t="shared" si="2"/>
        <v>{"ITM_SEQ":"106","TYPE":"식품","TYPE_DTL":"미정","ITM_NM":"동원 고추참치 90*4","PRICE":"4360","UNIT":"1","":"4360","IMG":"동원 고추참치 90*4.jpg"},</v>
      </c>
    </row>
    <row r="108" spans="2:11" ht="14.4" hidden="1" customHeight="1">
      <c r="B108" s="69">
        <v>107</v>
      </c>
      <c r="C108" s="61" t="s">
        <v>12</v>
      </c>
      <c r="D108" s="62" t="s">
        <v>380</v>
      </c>
      <c r="E108" s="44" t="s">
        <v>242</v>
      </c>
      <c r="F108" s="57">
        <v>4740</v>
      </c>
      <c r="G108" s="58">
        <v>1</v>
      </c>
      <c r="H108" s="45">
        <f>F108*G108</f>
        <v>4740</v>
      </c>
      <c r="I108" s="48" t="str">
        <f>_xlfn.CONCAT(E108, ".jpg")</f>
        <v>동원참치 라이트스탠다드 90g*4.jpg</v>
      </c>
      <c r="J108" s="44"/>
      <c r="K108" s="50" t="str">
        <f t="shared" si="2"/>
        <v>{"ITM_SEQ":"107","TYPE":"식품","TYPE_DTL":"미정","ITM_NM":"동원참치 라이트스탠다드 90g*4","PRICE":"4740","UNIT":"1","":"4740","IMG":"동원참치 라이트스탠다드 90g*4.jpg"},</v>
      </c>
    </row>
    <row r="109" spans="2:11" ht="14.4" hidden="1" customHeight="1">
      <c r="B109" s="69">
        <v>108</v>
      </c>
      <c r="C109" s="61" t="s">
        <v>12</v>
      </c>
      <c r="D109" s="62" t="s">
        <v>380</v>
      </c>
      <c r="E109" s="44" t="s">
        <v>249</v>
      </c>
      <c r="F109" s="57">
        <v>1790</v>
      </c>
      <c r="G109" s="58">
        <v>1</v>
      </c>
      <c r="H109" s="45">
        <f>F109*G109</f>
        <v>1790</v>
      </c>
      <c r="I109" s="48" t="str">
        <f>_xlfn.CONCAT(E109, ".jpg")</f>
        <v>롱스.jpg</v>
      </c>
      <c r="J109" s="44"/>
      <c r="K109" s="50" t="str">
        <f t="shared" si="2"/>
        <v>{"ITM_SEQ":"108","TYPE":"식품","TYPE_DTL":"미정","ITM_NM":"롱스","PRICE":"1790","UNIT":"1","":"1790","IMG":"롱스.jpg"},</v>
      </c>
    </row>
    <row r="110" spans="2:11" ht="14.4" hidden="1" customHeight="1">
      <c r="B110" s="69">
        <v>109</v>
      </c>
      <c r="C110" s="61" t="s">
        <v>12</v>
      </c>
      <c r="D110" s="62" t="s">
        <v>380</v>
      </c>
      <c r="E110" s="44" t="s">
        <v>251</v>
      </c>
      <c r="F110" s="57">
        <v>4990</v>
      </c>
      <c r="G110" s="58">
        <v>1</v>
      </c>
      <c r="H110" s="45">
        <f>F110*G110</f>
        <v>4990</v>
      </c>
      <c r="I110" s="48" t="str">
        <f>_xlfn.CONCAT(E110, ".jpg")</f>
        <v>맛나요 오튀.jpg</v>
      </c>
      <c r="J110" s="44"/>
      <c r="K110" s="50" t="str">
        <f t="shared" ref="K110:K165" si="3">_xlfn.CONCAT("{""",$B$3,""":""",B110,""",""",$C$3,""":""",C110,""",""",$D$3,""":""",D110,""",""",$E$3,""":""",E110,""",""",$F$3,""":""",F110,""",""",$G$3,""":""",G110,""",""",$H$3,""":""",H110,""",""",$I$3,""":""",I110,"""},")</f>
        <v>{"ITM_SEQ":"109","TYPE":"식품","TYPE_DTL":"미정","ITM_NM":"맛나요 오튀","PRICE":"4990","UNIT":"1","":"4990","IMG":"맛나요 오튀.jpg"},</v>
      </c>
    </row>
    <row r="111" spans="2:11" ht="14.4" hidden="1" customHeight="1">
      <c r="B111" s="69">
        <v>110</v>
      </c>
      <c r="C111" s="61" t="s">
        <v>12</v>
      </c>
      <c r="D111" s="62" t="s">
        <v>380</v>
      </c>
      <c r="E111" s="44" t="s">
        <v>366</v>
      </c>
      <c r="F111" s="57">
        <v>710</v>
      </c>
      <c r="G111" s="58">
        <v>1</v>
      </c>
      <c r="H111" s="45">
        <f>F111*G111</f>
        <v>710</v>
      </c>
      <c r="I111" s="48" t="str">
        <f>_xlfn.CONCAT(E111, ".jpg")</f>
        <v>맛다시.jpg</v>
      </c>
      <c r="J111" s="44"/>
      <c r="K111" s="50" t="str">
        <f t="shared" si="3"/>
        <v>{"ITM_SEQ":"110","TYPE":"식품","TYPE_DTL":"미정","ITM_NM":"맛다시","PRICE":"710","UNIT":"1","":"710","IMG":"맛다시.jpg"},</v>
      </c>
    </row>
    <row r="112" spans="2:11" ht="14.4" hidden="1" customHeight="1">
      <c r="B112" s="69">
        <v>111</v>
      </c>
      <c r="C112" s="61" t="s">
        <v>12</v>
      </c>
      <c r="D112" s="62" t="s">
        <v>380</v>
      </c>
      <c r="E112" s="44" t="s">
        <v>256</v>
      </c>
      <c r="F112" s="57">
        <v>4350</v>
      </c>
      <c r="G112" s="58">
        <v>1</v>
      </c>
      <c r="H112" s="45">
        <f>F112*G112</f>
        <v>4350</v>
      </c>
      <c r="I112" s="48" t="str">
        <f>_xlfn.CONCAT(E112, ".jpg")</f>
        <v>메밀국수.jpg</v>
      </c>
      <c r="J112" s="44"/>
      <c r="K112" s="50" t="str">
        <f t="shared" si="3"/>
        <v>{"ITM_SEQ":"111","TYPE":"식품","TYPE_DTL":"미정","ITM_NM":"메밀국수","PRICE":"4350","UNIT":"1","":"4350","IMG":"메밀국수.jpg"},</v>
      </c>
    </row>
    <row r="113" spans="2:11" ht="14.4" hidden="1" customHeight="1">
      <c r="B113" s="69">
        <v>112</v>
      </c>
      <c r="C113" s="61" t="s">
        <v>12</v>
      </c>
      <c r="D113" s="62" t="s">
        <v>380</v>
      </c>
      <c r="E113" s="44" t="s">
        <v>258</v>
      </c>
      <c r="F113" s="57">
        <v>1100</v>
      </c>
      <c r="G113" s="58">
        <v>1</v>
      </c>
      <c r="H113" s="45">
        <f>F113*G113</f>
        <v>1100</v>
      </c>
      <c r="I113" s="48" t="str">
        <f>_xlfn.CONCAT(E113, ".jpg")</f>
        <v>몽쉘카카오케이크.jpg</v>
      </c>
      <c r="J113" s="44"/>
      <c r="K113" s="50" t="str">
        <f t="shared" si="3"/>
        <v>{"ITM_SEQ":"112","TYPE":"식품","TYPE_DTL":"미정","ITM_NM":"몽쉘카카오케이크","PRICE":"1100","UNIT":"1","":"1100","IMG":"몽쉘카카오케이크.jpg"},</v>
      </c>
    </row>
    <row r="114" spans="2:11" ht="14.4" hidden="1" customHeight="1">
      <c r="B114" s="69">
        <v>113</v>
      </c>
      <c r="C114" s="61" t="s">
        <v>12</v>
      </c>
      <c r="D114" s="62" t="s">
        <v>380</v>
      </c>
      <c r="E114" s="44" t="s">
        <v>259</v>
      </c>
      <c r="F114" s="57">
        <v>1830</v>
      </c>
      <c r="G114" s="58">
        <v>1</v>
      </c>
      <c r="H114" s="45">
        <f>F114*G114</f>
        <v>1830</v>
      </c>
      <c r="I114" s="48" t="str">
        <f>_xlfn.CONCAT(E114, ".jpg")</f>
        <v>미림.jpg</v>
      </c>
      <c r="J114" s="44"/>
      <c r="K114" s="50" t="str">
        <f t="shared" si="3"/>
        <v>{"ITM_SEQ":"113","TYPE":"식품","TYPE_DTL":"미정","ITM_NM":"미림","PRICE":"1830","UNIT":"1","":"1830","IMG":"미림.jpg"},</v>
      </c>
    </row>
    <row r="115" spans="2:11" ht="14.4" hidden="1" customHeight="1">
      <c r="B115" s="69">
        <v>114</v>
      </c>
      <c r="C115" s="61" t="s">
        <v>12</v>
      </c>
      <c r="D115" s="62" t="s">
        <v>380</v>
      </c>
      <c r="E115" s="44" t="s">
        <v>261</v>
      </c>
      <c r="F115" s="57">
        <v>400</v>
      </c>
      <c r="G115" s="58">
        <v>30</v>
      </c>
      <c r="H115" s="45">
        <f>F115*G115</f>
        <v>12000</v>
      </c>
      <c r="I115" s="48" t="str">
        <f>_xlfn.CONCAT(E115, ".jpg")</f>
        <v>밀키스제로.jpg</v>
      </c>
      <c r="J115" s="44"/>
      <c r="K115" s="50" t="str">
        <f t="shared" si="3"/>
        <v>{"ITM_SEQ":"114","TYPE":"식품","TYPE_DTL":"미정","ITM_NM":"밀키스제로","PRICE":"400","UNIT":"30","":"12000","IMG":"밀키스제로.jpg"},</v>
      </c>
    </row>
    <row r="116" spans="2:11" ht="14.4" hidden="1" customHeight="1">
      <c r="B116" s="69">
        <v>115</v>
      </c>
      <c r="C116" s="61" t="s">
        <v>12</v>
      </c>
      <c r="D116" s="62" t="s">
        <v>380</v>
      </c>
      <c r="E116" s="44" t="s">
        <v>263</v>
      </c>
      <c r="F116" s="57">
        <v>4640</v>
      </c>
      <c r="G116" s="58">
        <v>1</v>
      </c>
      <c r="H116" s="45">
        <f>F116*G116</f>
        <v>4640</v>
      </c>
      <c r="I116" s="48" t="str">
        <f>_xlfn.CONCAT(E116, ".jpg")</f>
        <v>바싹한 미니버터 크룽지.jpg</v>
      </c>
      <c r="J116" s="44"/>
      <c r="K116" s="50" t="str">
        <f t="shared" si="3"/>
        <v>{"ITM_SEQ":"115","TYPE":"식품","TYPE_DTL":"미정","ITM_NM":"바싹한 미니버터 크룽지","PRICE":"4640","UNIT":"1","":"4640","IMG":"바싹한 미니버터 크룽지.jpg"},</v>
      </c>
    </row>
    <row r="117" spans="2:11" ht="14.4" hidden="1" customHeight="1">
      <c r="B117" s="69">
        <v>116</v>
      </c>
      <c r="C117" s="61" t="s">
        <v>12</v>
      </c>
      <c r="D117" s="62" t="s">
        <v>380</v>
      </c>
      <c r="E117" s="44" t="s">
        <v>264</v>
      </c>
      <c r="F117" s="57">
        <v>500</v>
      </c>
      <c r="G117" s="58">
        <v>10</v>
      </c>
      <c r="H117" s="45">
        <f>F117*G117</f>
        <v>5000</v>
      </c>
      <c r="I117" s="48" t="str">
        <f>_xlfn.CONCAT(E117, ".jpg")</f>
        <v>박카스.jpg</v>
      </c>
      <c r="J117" s="44"/>
      <c r="K117" s="50" t="str">
        <f t="shared" si="3"/>
        <v>{"ITM_SEQ":"116","TYPE":"식품","TYPE_DTL":"미정","ITM_NM":"박카스","PRICE":"500","UNIT":"10","":"5000","IMG":"박카스.jpg"},</v>
      </c>
    </row>
    <row r="118" spans="2:11" ht="14.4" hidden="1" customHeight="1">
      <c r="B118" s="69">
        <v>117</v>
      </c>
      <c r="C118" s="66" t="s">
        <v>219</v>
      </c>
      <c r="D118" s="62" t="s">
        <v>379</v>
      </c>
      <c r="E118" s="44" t="s">
        <v>238</v>
      </c>
      <c r="F118" s="57">
        <v>6900</v>
      </c>
      <c r="G118" s="58">
        <v>1</v>
      </c>
      <c r="H118" s="45">
        <f>F118*G118</f>
        <v>6900</v>
      </c>
      <c r="I118" s="48" t="str">
        <f>_xlfn.CONCAT(E118, ".jpg")</f>
        <v>더프트앤도프트 핑크브리즈 파인 프라그란스 바디미스트.jpg</v>
      </c>
      <c r="J118" s="44"/>
      <c r="K118" s="50" t="str">
        <f t="shared" si="3"/>
        <v>{"ITM_SEQ":"117","TYPE":"기타","TYPE_DTL":"바디","ITM_NM":"더프트앤도프트 핑크브리즈 파인 프라그란스 바디미스트","PRICE":"6900","UNIT":"1","":"6900","IMG":"더프트앤도프트 핑크브리즈 파인 프라그란스 바디미스트.jpg"},</v>
      </c>
    </row>
    <row r="119" spans="2:11" ht="14.4" customHeight="1">
      <c r="B119" s="69">
        <v>80</v>
      </c>
      <c r="C119" s="61" t="s">
        <v>18</v>
      </c>
      <c r="D119" s="62" t="s">
        <v>380</v>
      </c>
      <c r="E119" s="44" t="s">
        <v>306</v>
      </c>
      <c r="F119" s="57">
        <v>11690</v>
      </c>
      <c r="G119" s="58">
        <v>1</v>
      </c>
      <c r="H119" s="45">
        <f>F119*G119</f>
        <v>11690</v>
      </c>
      <c r="I119" s="48" t="str">
        <f>_xlfn.CONCAT(E119, ".jpg")</f>
        <v>아이소이 인텐시브 리프팅 스팟.jpg</v>
      </c>
      <c r="J119" s="44"/>
      <c r="K119" s="50" t="str">
        <f t="shared" si="3"/>
        <v>{"ITM_SEQ":"80","TYPE":"화장품","TYPE_DTL":"미정","ITM_NM":"아이소이 인텐시브 리프팅 스팟","PRICE":"11690","UNIT":"1","":"11690","IMG":"아이소이 인텐시브 리프팅 스팟.jpg"},</v>
      </c>
    </row>
    <row r="120" spans="2:11" ht="14.4" customHeight="1">
      <c r="B120" s="69">
        <v>46</v>
      </c>
      <c r="C120" s="61" t="s">
        <v>18</v>
      </c>
      <c r="D120" s="61" t="s">
        <v>22</v>
      </c>
      <c r="E120" s="44" t="s">
        <v>187</v>
      </c>
      <c r="F120" s="57">
        <v>14090</v>
      </c>
      <c r="G120" s="58">
        <v>1</v>
      </c>
      <c r="H120" s="45">
        <f>F120*G120</f>
        <v>14090</v>
      </c>
      <c r="I120" s="48" t="str">
        <f>_xlfn.CONCAT(E120, ".jpg")</f>
        <v>아이소이 탄력크림EX.jpg</v>
      </c>
      <c r="J120" s="44"/>
      <c r="K120" s="50" t="str">
        <f t="shared" si="3"/>
        <v>{"ITM_SEQ":"46","TYPE":"화장품","TYPE_DTL":"영양크림","ITM_NM":"아이소이 탄력크림EX","PRICE":"14090","UNIT":"1","":"14090","IMG":"아이소이 탄력크림EX.jpg"},</v>
      </c>
    </row>
    <row r="121" spans="2:11" ht="14.4" customHeight="1">
      <c r="B121" s="69">
        <v>81</v>
      </c>
      <c r="C121" s="61" t="s">
        <v>18</v>
      </c>
      <c r="D121" s="62" t="s">
        <v>380</v>
      </c>
      <c r="E121" s="44" t="s">
        <v>370</v>
      </c>
      <c r="F121" s="57">
        <v>14850</v>
      </c>
      <c r="G121" s="58">
        <v>1</v>
      </c>
      <c r="H121" s="45">
        <f>F121*G121</f>
        <v>14850</v>
      </c>
      <c r="I121" s="48" t="str">
        <f>_xlfn.CONCAT(E121, ".jpg")</f>
        <v>액티브 프로 바이오틱스.jpg</v>
      </c>
      <c r="J121" s="44"/>
      <c r="K121" s="50" t="str">
        <f t="shared" si="3"/>
        <v>{"ITM_SEQ":"81","TYPE":"화장품","TYPE_DTL":"미정","ITM_NM":"액티브 프로 바이오틱스","PRICE":"14850","UNIT":"1","":"14850","IMG":"액티브 프로 바이오틱스.jpg"},</v>
      </c>
    </row>
    <row r="122" spans="2:11" ht="14.4" customHeight="1">
      <c r="B122" s="69">
        <v>82</v>
      </c>
      <c r="C122" s="61" t="s">
        <v>18</v>
      </c>
      <c r="D122" s="62" t="s">
        <v>380</v>
      </c>
      <c r="E122" s="44" t="s">
        <v>313</v>
      </c>
      <c r="F122" s="57">
        <v>9880</v>
      </c>
      <c r="G122" s="58">
        <v>1</v>
      </c>
      <c r="H122" s="45">
        <f>F122*G122</f>
        <v>9880</v>
      </c>
      <c r="I122" s="48" t="str">
        <f>_xlfn.CONCAT(E122, ".jpg")</f>
        <v>울트라 바이탈 라이징 스네일 크림.jpg</v>
      </c>
      <c r="J122" s="44"/>
      <c r="K122" s="50" t="str">
        <f t="shared" si="3"/>
        <v>{"ITM_SEQ":"82","TYPE":"화장품","TYPE_DTL":"미정","ITM_NM":"울트라 바이탈 라이징 스네일 크림","PRICE":"9880","UNIT":"1","":"9880","IMG":"울트라 바이탈 라이징 스네일 크림.jpg"},</v>
      </c>
    </row>
    <row r="123" spans="2:11" ht="14.4" hidden="1" customHeight="1">
      <c r="B123" s="69">
        <v>123</v>
      </c>
      <c r="C123" s="61" t="s">
        <v>12</v>
      </c>
      <c r="D123" s="61" t="s">
        <v>214</v>
      </c>
      <c r="E123" s="44" t="s">
        <v>215</v>
      </c>
      <c r="F123" s="57">
        <v>40000</v>
      </c>
      <c r="G123" s="58">
        <v>1</v>
      </c>
      <c r="H123" s="45">
        <f>F123*G123</f>
        <v>40000</v>
      </c>
      <c r="I123" s="48" t="str">
        <f>_xlfn.CONCAT(E123, ".jpg")</f>
        <v>홍삼보운.jpg</v>
      </c>
      <c r="J123" s="44"/>
      <c r="K123" s="50" t="str">
        <f t="shared" si="3"/>
        <v>{"ITM_SEQ":"123","TYPE":"식품","TYPE_DTL":"영양제","ITM_NM":"홍삼보운","PRICE":"40000","UNIT":"1","":"40000","IMG":"홍삼보운.jpg"},</v>
      </c>
    </row>
    <row r="124" spans="2:11" ht="14.4" customHeight="1">
      <c r="B124" s="69">
        <v>83</v>
      </c>
      <c r="C124" s="61" t="s">
        <v>18</v>
      </c>
      <c r="D124" s="62" t="s">
        <v>380</v>
      </c>
      <c r="E124" s="44" t="s">
        <v>314</v>
      </c>
      <c r="F124" s="57">
        <v>21010</v>
      </c>
      <c r="G124" s="58">
        <v>1</v>
      </c>
      <c r="H124" s="45">
        <f>F124*G124</f>
        <v>21010</v>
      </c>
      <c r="I124" s="48" t="str">
        <f>_xlfn.CONCAT(E124, ".jpg")</f>
        <v>울트라바이탈라이징스네일스페셜기프트세트.jpg</v>
      </c>
      <c r="J124" s="44"/>
      <c r="K124" s="50" t="str">
        <f t="shared" si="3"/>
        <v>{"ITM_SEQ":"83","TYPE":"화장품","TYPE_DTL":"미정","ITM_NM":"울트라바이탈라이징스네일스페셜기프트세트","PRICE":"21010","UNIT":"1","":"21010","IMG":"울트라바이탈라이징스네일스페셜기프트세트.jpg"},</v>
      </c>
    </row>
    <row r="125" spans="2:11" ht="14.4" customHeight="1">
      <c r="B125" s="69">
        <v>84</v>
      </c>
      <c r="C125" s="61" t="s">
        <v>18</v>
      </c>
      <c r="D125" s="62" t="s">
        <v>380</v>
      </c>
      <c r="E125" s="44" t="s">
        <v>315</v>
      </c>
      <c r="F125" s="57">
        <v>5700</v>
      </c>
      <c r="G125" s="58">
        <v>1</v>
      </c>
      <c r="H125" s="45">
        <f>F125*G125</f>
        <v>5700</v>
      </c>
      <c r="I125" s="48" t="str">
        <f>_xlfn.CONCAT(E125, ".jpg")</f>
        <v>울트라바이탈라이징스네일에센스워터.jpg</v>
      </c>
      <c r="J125" s="44"/>
      <c r="K125" s="50" t="str">
        <f t="shared" si="3"/>
        <v>{"ITM_SEQ":"84","TYPE":"화장품","TYPE_DTL":"미정","ITM_NM":"울트라바이탈라이징스네일에센스워터","PRICE":"5700","UNIT":"1","":"5700","IMG":"울트라바이탈라이징스네일에센스워터.jpg"},</v>
      </c>
    </row>
    <row r="126" spans="2:11" ht="14.4" customHeight="1">
      <c r="B126" s="69">
        <v>85</v>
      </c>
      <c r="C126" s="61" t="s">
        <v>18</v>
      </c>
      <c r="D126" s="62" t="s">
        <v>380</v>
      </c>
      <c r="E126" s="44" t="s">
        <v>316</v>
      </c>
      <c r="F126" s="57">
        <v>6170</v>
      </c>
      <c r="G126" s="58">
        <v>1</v>
      </c>
      <c r="H126" s="45">
        <f>F126*G126</f>
        <v>6170</v>
      </c>
      <c r="I126" s="48" t="str">
        <f>_xlfn.CONCAT(E126, ".jpg")</f>
        <v>이니스프리 시카밤.jpg</v>
      </c>
      <c r="J126" s="44"/>
      <c r="K126" s="50" t="str">
        <f t="shared" si="3"/>
        <v>{"ITM_SEQ":"85","TYPE":"화장품","TYPE_DTL":"미정","ITM_NM":"이니스프리 시카밤","PRICE":"6170","UNIT":"1","":"6170","IMG":"이니스프리 시카밤.jpg"},</v>
      </c>
    </row>
    <row r="127" spans="2:11" ht="14.4" customHeight="1">
      <c r="B127" s="69">
        <v>44</v>
      </c>
      <c r="C127" s="61" t="s">
        <v>18</v>
      </c>
      <c r="D127" s="61" t="s">
        <v>22</v>
      </c>
      <c r="E127" s="44" t="s">
        <v>191</v>
      </c>
      <c r="F127" s="57">
        <v>7900</v>
      </c>
      <c r="G127" s="58">
        <v>1</v>
      </c>
      <c r="H127" s="45">
        <f>F127*G127</f>
        <v>7900</v>
      </c>
      <c r="I127" s="48" t="str">
        <f>_xlfn.CONCAT(E127, ".jpg")</f>
        <v>이니스프리 퍼펙트9인텐시브 크림.jpg</v>
      </c>
      <c r="J127" s="44"/>
      <c r="K127" s="50" t="str">
        <f t="shared" si="3"/>
        <v>{"ITM_SEQ":"44","TYPE":"화장품","TYPE_DTL":"영양크림","ITM_NM":"이니스프리 퍼펙트9인텐시브 크림","PRICE":"7900","UNIT":"1","":"7900","IMG":"이니스프리 퍼펙트9인텐시브 크림.jpg"},</v>
      </c>
    </row>
    <row r="128" spans="2:11" ht="14.4" customHeight="1">
      <c r="B128" s="69">
        <v>86</v>
      </c>
      <c r="C128" s="61" t="s">
        <v>18</v>
      </c>
      <c r="D128" s="62" t="s">
        <v>380</v>
      </c>
      <c r="E128" s="44" t="s">
        <v>318</v>
      </c>
      <c r="F128" s="57">
        <v>5270</v>
      </c>
      <c r="G128" s="58">
        <v>1</v>
      </c>
      <c r="H128" s="45">
        <f>F128*G128</f>
        <v>5270</v>
      </c>
      <c r="I128" s="48" t="str">
        <f>_xlfn.CONCAT(E128, ".jpg")</f>
        <v>자민경크레마카발로 오일 투 폼(클렌징폼).jpg</v>
      </c>
      <c r="J128" s="44"/>
      <c r="K128" s="50" t="str">
        <f t="shared" si="3"/>
        <v>{"ITM_SEQ":"86","TYPE":"화장품","TYPE_DTL":"미정","ITM_NM":"자민경크레마카발로 오일 투 폼(클렌징폼)","PRICE":"5270","UNIT":"1","":"5270","IMG":"자민경크레마카발로 오일 투 폼(클렌징폼).jpg"},</v>
      </c>
    </row>
    <row r="129" spans="2:11" ht="14.4" customHeight="1">
      <c r="B129" s="69">
        <v>87</v>
      </c>
      <c r="C129" s="61" t="s">
        <v>18</v>
      </c>
      <c r="D129" s="62" t="s">
        <v>380</v>
      </c>
      <c r="E129" s="44" t="s">
        <v>345</v>
      </c>
      <c r="F129" s="57">
        <v>4320</v>
      </c>
      <c r="G129" s="58">
        <v>1</v>
      </c>
      <c r="H129" s="45">
        <f>F129*G129</f>
        <v>4320</v>
      </c>
      <c r="I129" s="48" t="str">
        <f>_xlfn.CONCAT(E129, ".jpg")</f>
        <v>탁터지 레드 블레미쉬 클리어 크림.jpg</v>
      </c>
      <c r="J129" s="44"/>
      <c r="K129" s="50" t="str">
        <f t="shared" si="3"/>
        <v>{"ITM_SEQ":"87","TYPE":"화장품","TYPE_DTL":"미정","ITM_NM":"탁터지 레드 블레미쉬 클리어 크림","PRICE":"4320","UNIT":"1","":"4320","IMG":"탁터지 레드 블레미쉬 클리어 크림.jpg"},</v>
      </c>
    </row>
    <row r="130" spans="2:11" ht="14.4" customHeight="1">
      <c r="B130" s="69">
        <v>88</v>
      </c>
      <c r="C130" s="61" t="s">
        <v>18</v>
      </c>
      <c r="D130" s="62" t="s">
        <v>380</v>
      </c>
      <c r="E130" s="44" t="s">
        <v>351</v>
      </c>
      <c r="F130" s="57">
        <v>4900</v>
      </c>
      <c r="G130" s="58">
        <v>1</v>
      </c>
      <c r="H130" s="45">
        <f>F130*G130</f>
        <v>4900</v>
      </c>
      <c r="I130" s="48" t="str">
        <f>_xlfn.CONCAT(E130, ".jpg")</f>
        <v>퍼팩트 휩 페이셜 워시 에이.jpg</v>
      </c>
      <c r="J130" s="44"/>
      <c r="K130" s="50" t="str">
        <f t="shared" si="3"/>
        <v>{"ITM_SEQ":"88","TYPE":"화장품","TYPE_DTL":"미정","ITM_NM":"퍼팩트 휩 페이셜 워시 에이","PRICE":"4900","UNIT":"1","":"4900","IMG":"퍼팩트 휩 페이셜 워시 에이.jpg"},</v>
      </c>
    </row>
    <row r="131" spans="2:11" ht="14.4" customHeight="1">
      <c r="B131" s="69">
        <v>89</v>
      </c>
      <c r="C131" s="61" t="s">
        <v>18</v>
      </c>
      <c r="D131" s="62" t="s">
        <v>380</v>
      </c>
      <c r="E131" s="44" t="s">
        <v>373</v>
      </c>
      <c r="F131" s="57">
        <v>3580</v>
      </c>
      <c r="G131" s="58">
        <v>1</v>
      </c>
      <c r="H131" s="45">
        <f>F131*G131</f>
        <v>3580</v>
      </c>
      <c r="I131" s="48" t="str">
        <f>_xlfn.CONCAT(E131, ".jpg")</f>
        <v>해피바스 오리지널컬렉션 베이비파우더비누.jpg</v>
      </c>
      <c r="J131" s="44"/>
      <c r="K131" s="50" t="str">
        <f t="shared" si="3"/>
        <v>{"ITM_SEQ":"89","TYPE":"화장품","TYPE_DTL":"미정","ITM_NM":"해피바스 오리지널컬렉션 베이비파우더비누","PRICE":"3580","UNIT":"1","":"3580","IMG":"해피바스 오리지널컬렉션 베이비파우더비누.jpg"},</v>
      </c>
    </row>
    <row r="132" spans="2:11" ht="14.4" hidden="1" customHeight="1">
      <c r="B132" s="69">
        <v>134</v>
      </c>
      <c r="C132" s="61" t="s">
        <v>12</v>
      </c>
      <c r="D132" s="61" t="s">
        <v>16</v>
      </c>
      <c r="E132" s="44" t="s">
        <v>319</v>
      </c>
      <c r="F132" s="57">
        <v>2220</v>
      </c>
      <c r="G132" s="58">
        <v>1</v>
      </c>
      <c r="H132" s="45">
        <f>F132*G132</f>
        <v>2220</v>
      </c>
      <c r="I132" s="48" t="str">
        <f>_xlfn.CONCAT(E132, ".jpg")</f>
        <v>제주앤팜 레몬차.jpg</v>
      </c>
      <c r="J132" s="44"/>
      <c r="K132" s="50" t="str">
        <f t="shared" si="3"/>
        <v>{"ITM_SEQ":"134","TYPE":"식품","TYPE_DTL":"차","ITM_NM":"제주앤팜 레몬차","PRICE":"2220","UNIT":"1","":"2220","IMG":"제주앤팜 레몬차.jpg"},</v>
      </c>
    </row>
    <row r="133" spans="2:11" ht="14.4" hidden="1" customHeight="1">
      <c r="B133" s="69">
        <v>135</v>
      </c>
      <c r="C133" s="61" t="s">
        <v>12</v>
      </c>
      <c r="D133" s="61" t="s">
        <v>16</v>
      </c>
      <c r="E133" s="44" t="s">
        <v>320</v>
      </c>
      <c r="F133" s="57">
        <v>2990</v>
      </c>
      <c r="G133" s="58">
        <v>1</v>
      </c>
      <c r="H133" s="45">
        <f>F133*G133</f>
        <v>2990</v>
      </c>
      <c r="I133" s="48" t="str">
        <f>_xlfn.CONCAT(E133, ".jpg")</f>
        <v>제주앤팜 한라봉차.jpg</v>
      </c>
      <c r="J133" s="44"/>
      <c r="K133" s="50" t="str">
        <f t="shared" si="3"/>
        <v>{"ITM_SEQ":"135","TYPE":"식품","TYPE_DTL":"차","ITM_NM":"제주앤팜 한라봉차","PRICE":"2990","UNIT":"1","":"2990","IMG":"제주앤팜 한라봉차.jpg"},</v>
      </c>
    </row>
    <row r="134" spans="2:11" ht="14.4" hidden="1" customHeight="1">
      <c r="B134" s="69">
        <v>136</v>
      </c>
      <c r="C134" s="61" t="s">
        <v>12</v>
      </c>
      <c r="D134" s="61" t="s">
        <v>17</v>
      </c>
      <c r="E134" s="44" t="s">
        <v>317</v>
      </c>
      <c r="F134" s="57">
        <v>560</v>
      </c>
      <c r="G134" s="58">
        <v>20</v>
      </c>
      <c r="H134" s="45">
        <f>F134*G134</f>
        <v>11200</v>
      </c>
      <c r="I134" s="48" t="str">
        <f>_xlfn.CONCAT(E134, ".jpg")</f>
        <v>이클립스 쿨링 소프트 캔디 레몬맛.jpg</v>
      </c>
      <c r="J134" s="44"/>
      <c r="K134" s="50" t="str">
        <f t="shared" si="3"/>
        <v>{"ITM_SEQ":"136","TYPE":"식품","TYPE_DTL":"캔디","ITM_NM":"이클립스 쿨링 소프트 캔디 레몬맛","PRICE":"560","UNIT":"20","":"11200","IMG":"이클립스 쿨링 소프트 캔디 레몬맛.jpg"},</v>
      </c>
    </row>
    <row r="135" spans="2:11" ht="14.4" customHeight="1">
      <c r="B135" s="69">
        <v>90</v>
      </c>
      <c r="C135" s="61" t="s">
        <v>18</v>
      </c>
      <c r="D135" s="62" t="s">
        <v>380</v>
      </c>
      <c r="E135" s="44" t="s">
        <v>374</v>
      </c>
      <c r="F135" s="57">
        <v>3560</v>
      </c>
      <c r="G135" s="58">
        <v>1</v>
      </c>
      <c r="H135" s="45">
        <f>F135*G135</f>
        <v>3560</v>
      </c>
      <c r="I135" s="48" t="str">
        <f>_xlfn.CONCAT(E135, ".jpg")</f>
        <v>해피바스 오리지널컬렉션 올리브비누.jpg</v>
      </c>
      <c r="J135" s="44"/>
      <c r="K135" s="50" t="str">
        <f t="shared" si="3"/>
        <v>{"ITM_SEQ":"90","TYPE":"화장품","TYPE_DTL":"미정","ITM_NM":"해피바스 오리지널컬렉션 올리브비누","PRICE":"3560","UNIT":"1","":"3560","IMG":"해피바스 오리지널컬렉션 올리브비누.jpg"},</v>
      </c>
    </row>
    <row r="136" spans="2:11" ht="14.4" customHeight="1">
      <c r="B136" s="69">
        <v>91</v>
      </c>
      <c r="C136" s="61" t="s">
        <v>18</v>
      </c>
      <c r="D136" s="62" t="s">
        <v>380</v>
      </c>
      <c r="E136" s="44" t="s">
        <v>356</v>
      </c>
      <c r="F136" s="57">
        <v>3890</v>
      </c>
      <c r="G136" s="58">
        <v>1</v>
      </c>
      <c r="H136" s="45">
        <f>F136*G136</f>
        <v>3890</v>
      </c>
      <c r="I136" s="48" t="str">
        <f>_xlfn.CONCAT(E136, ".jpg")</f>
        <v>해피바스 오리지널컬렉션 체리블로썸.jpg</v>
      </c>
      <c r="J136" s="44"/>
      <c r="K136" s="50" t="str">
        <f t="shared" si="3"/>
        <v>{"ITM_SEQ":"91","TYPE":"화장품","TYPE_DTL":"미정","ITM_NM":"해피바스 오리지널컬렉션 체리블로썸","PRICE":"3890","UNIT":"1","":"3890","IMG":"해피바스 오리지널컬렉션 체리블로썸.jpg"},</v>
      </c>
    </row>
    <row r="137" spans="2:11" ht="14.4" hidden="1" customHeight="1">
      <c r="B137" s="69">
        <v>140</v>
      </c>
      <c r="C137" s="61" t="s">
        <v>12</v>
      </c>
      <c r="D137" s="62" t="s">
        <v>380</v>
      </c>
      <c r="E137" s="44" t="s">
        <v>95</v>
      </c>
      <c r="F137" s="57">
        <v>570</v>
      </c>
      <c r="G137" s="58">
        <v>8</v>
      </c>
      <c r="H137" s="45">
        <f>F137*G137</f>
        <v>4560</v>
      </c>
      <c r="I137" s="48" t="str">
        <f t="shared" ref="I133:I196" si="4">_xlfn.CONCAT(E137, ".jpg")</f>
        <v>박카스맛젤리.jpg</v>
      </c>
      <c r="J137" s="44"/>
      <c r="K137" s="50" t="str">
        <f t="shared" si="3"/>
        <v>{"ITM_SEQ":"140","TYPE":"식품","TYPE_DTL":"미정","ITM_NM":"박카스맛젤리","PRICE":"570","UNIT":"8","":"4560","IMG":"박카스맛젤리.jpg"},</v>
      </c>
    </row>
    <row r="138" spans="2:11" ht="14.4" hidden="1" customHeight="1">
      <c r="B138" s="69">
        <v>141</v>
      </c>
      <c r="C138" s="61" t="s">
        <v>12</v>
      </c>
      <c r="D138" s="62" t="s">
        <v>380</v>
      </c>
      <c r="E138" s="44" t="s">
        <v>265</v>
      </c>
      <c r="F138" s="57">
        <v>3950</v>
      </c>
      <c r="G138" s="58">
        <v>1</v>
      </c>
      <c r="H138" s="45">
        <f>F138*G138</f>
        <v>3950</v>
      </c>
      <c r="I138" s="48" t="str">
        <f t="shared" si="4"/>
        <v>백설 자일로스 설탈.jpg</v>
      </c>
      <c r="J138" s="44"/>
      <c r="K138" s="50" t="str">
        <f t="shared" si="3"/>
        <v>{"ITM_SEQ":"141","TYPE":"식품","TYPE_DTL":"미정","ITM_NM":"백설 자일로스 설탈","PRICE":"3950","UNIT":"1","":"3950","IMG":"백설 자일로스 설탈.jpg"},</v>
      </c>
    </row>
    <row r="139" spans="2:11" ht="14.4" hidden="1" customHeight="1">
      <c r="B139" s="69">
        <v>142</v>
      </c>
      <c r="C139" s="61" t="s">
        <v>12</v>
      </c>
      <c r="D139" s="62" t="s">
        <v>380</v>
      </c>
      <c r="E139" s="44" t="s">
        <v>266</v>
      </c>
      <c r="F139" s="57">
        <v>1800</v>
      </c>
      <c r="G139" s="58">
        <v>1</v>
      </c>
      <c r="H139" s="45">
        <f>F139*G139</f>
        <v>1800</v>
      </c>
      <c r="I139" s="48" t="str">
        <f t="shared" si="4"/>
        <v>백설 찍어먹는 트러플 솔트.jpg</v>
      </c>
      <c r="J139" s="44"/>
      <c r="K139" s="50" t="str">
        <f t="shared" si="3"/>
        <v>{"ITM_SEQ":"142","TYPE":"식품","TYPE_DTL":"미정","ITM_NM":"백설 찍어먹는 트러플 솔트","PRICE":"1800","UNIT":"1","":"1800","IMG":"백설 찍어먹는 트러플 솔트.jpg"},</v>
      </c>
    </row>
    <row r="140" spans="2:11" ht="14.4" hidden="1" customHeight="1">
      <c r="B140" s="69">
        <v>143</v>
      </c>
      <c r="C140" s="61" t="s">
        <v>12</v>
      </c>
      <c r="D140" s="62" t="s">
        <v>380</v>
      </c>
      <c r="E140" s="44" t="s">
        <v>270</v>
      </c>
      <c r="F140" s="57">
        <v>4350</v>
      </c>
      <c r="G140" s="58">
        <v>1</v>
      </c>
      <c r="H140" s="45">
        <f>F140*G140</f>
        <v>4350</v>
      </c>
      <c r="I140" s="48" t="str">
        <f t="shared" si="4"/>
        <v>봉편촌메밀국수2호.jpg</v>
      </c>
      <c r="J140" s="44"/>
      <c r="K140" s="50" t="str">
        <f t="shared" si="3"/>
        <v>{"ITM_SEQ":"143","TYPE":"식품","TYPE_DTL":"미정","ITM_NM":"봉편촌메밀국수2호","PRICE":"4350","UNIT":"1","":"4350","IMG":"봉편촌메밀국수2호.jpg"},</v>
      </c>
    </row>
    <row r="141" spans="2:11" ht="14.4" hidden="1" customHeight="1">
      <c r="B141" s="69">
        <v>144</v>
      </c>
      <c r="C141" s="61" t="s">
        <v>12</v>
      </c>
      <c r="D141" s="62" t="s">
        <v>380</v>
      </c>
      <c r="E141" s="44" t="s">
        <v>274</v>
      </c>
      <c r="F141" s="57">
        <v>1100</v>
      </c>
      <c r="G141" s="58">
        <v>1</v>
      </c>
      <c r="H141" s="45">
        <f>F141*G141</f>
        <v>1100</v>
      </c>
      <c r="I141" s="48" t="str">
        <f t="shared" si="4"/>
        <v>비비고 오리지널 김스낵.jpg</v>
      </c>
      <c r="J141" s="44"/>
      <c r="K141" s="50" t="str">
        <f t="shared" si="3"/>
        <v>{"ITM_SEQ":"144","TYPE":"식품","TYPE_DTL":"미정","ITM_NM":"비비고 오리지널 김스낵","PRICE":"1100","UNIT":"1","":"1100","IMG":"비비고 오리지널 김스낵.jpg"},</v>
      </c>
    </row>
    <row r="142" spans="2:11" ht="14.4" hidden="1" customHeight="1">
      <c r="B142" s="69">
        <v>145</v>
      </c>
      <c r="C142" s="61" t="s">
        <v>12</v>
      </c>
      <c r="D142" s="62" t="s">
        <v>380</v>
      </c>
      <c r="E142" s="44" t="s">
        <v>279</v>
      </c>
      <c r="F142" s="57">
        <v>1350</v>
      </c>
      <c r="G142" s="58">
        <v>1</v>
      </c>
      <c r="H142" s="45">
        <f>F142*G142</f>
        <v>1350</v>
      </c>
      <c r="I142" s="48" t="str">
        <f t="shared" si="4"/>
        <v>빅파이딸기(중).jpg</v>
      </c>
      <c r="J142" s="44"/>
      <c r="K142" s="50" t="str">
        <f t="shared" si="3"/>
        <v>{"ITM_SEQ":"145","TYPE":"식품","TYPE_DTL":"미정","ITM_NM":"빅파이딸기(중)","PRICE":"1350","UNIT":"1","":"1350","IMG":"빅파이딸기(중).jpg"},</v>
      </c>
    </row>
    <row r="143" spans="2:11" ht="14.4" hidden="1" customHeight="1">
      <c r="B143" s="69">
        <v>146</v>
      </c>
      <c r="C143" s="61" t="s">
        <v>12</v>
      </c>
      <c r="D143" s="62" t="s">
        <v>380</v>
      </c>
      <c r="E143" s="44" t="s">
        <v>280</v>
      </c>
      <c r="F143" s="57">
        <v>1810</v>
      </c>
      <c r="G143" s="58">
        <v>1</v>
      </c>
      <c r="H143" s="45">
        <f>F143*G143</f>
        <v>1810</v>
      </c>
      <c r="I143" s="48" t="str">
        <f t="shared" si="4"/>
        <v>빈츠초콜릿.jpg</v>
      </c>
      <c r="J143" s="44"/>
      <c r="K143" s="50" t="str">
        <f t="shared" si="3"/>
        <v>{"ITM_SEQ":"146","TYPE":"식품","TYPE_DTL":"미정","ITM_NM":"빈츠초콜릿","PRICE":"1810","UNIT":"1","":"1810","IMG":"빈츠초콜릿.jpg"},</v>
      </c>
    </row>
    <row r="144" spans="2:11" ht="14.4" hidden="1" customHeight="1">
      <c r="B144" s="69">
        <v>147</v>
      </c>
      <c r="C144" s="61" t="s">
        <v>12</v>
      </c>
      <c r="D144" s="62" t="s">
        <v>380</v>
      </c>
      <c r="E144" s="44" t="s">
        <v>281</v>
      </c>
      <c r="F144" s="57">
        <v>780</v>
      </c>
      <c r="G144" s="58">
        <v>10</v>
      </c>
      <c r="H144" s="45">
        <f>F144*G144</f>
        <v>7800</v>
      </c>
      <c r="I144" s="48" t="str">
        <f t="shared" si="4"/>
        <v>빼빼로.jpg</v>
      </c>
      <c r="J144" s="44"/>
      <c r="K144" s="50" t="str">
        <f t="shared" si="3"/>
        <v>{"ITM_SEQ":"147","TYPE":"식품","TYPE_DTL":"미정","ITM_NM":"빼빼로","PRICE":"780","UNIT":"10","":"7800","IMG":"빼빼로.jpg"},</v>
      </c>
    </row>
    <row r="145" spans="2:11" ht="14.4" hidden="1" customHeight="1">
      <c r="B145" s="69">
        <v>148</v>
      </c>
      <c r="C145" s="61" t="s">
        <v>12</v>
      </c>
      <c r="D145" s="62" t="s">
        <v>380</v>
      </c>
      <c r="E145" s="44" t="s">
        <v>290</v>
      </c>
      <c r="F145" s="57">
        <v>400</v>
      </c>
      <c r="G145" s="58">
        <v>10</v>
      </c>
      <c r="H145" s="45">
        <f>F145*G145</f>
        <v>4000</v>
      </c>
      <c r="I145" s="48" t="str">
        <f t="shared" si="4"/>
        <v>스낵면.jpg</v>
      </c>
      <c r="J145" s="44"/>
      <c r="K145" s="50" t="str">
        <f t="shared" si="3"/>
        <v>{"ITM_SEQ":"148","TYPE":"식품","TYPE_DTL":"미정","ITM_NM":"스낵면","PRICE":"400","UNIT":"10","":"4000","IMG":"스낵면.jpg"},</v>
      </c>
    </row>
    <row r="146" spans="2:11" ht="14.4" hidden="1" customHeight="1">
      <c r="B146" s="69">
        <v>149</v>
      </c>
      <c r="C146" s="61" t="s">
        <v>12</v>
      </c>
      <c r="D146" s="62" t="s">
        <v>380</v>
      </c>
      <c r="E146" s="44" t="s">
        <v>293</v>
      </c>
      <c r="F146" s="57">
        <v>4600</v>
      </c>
      <c r="G146" s="58">
        <v>1</v>
      </c>
      <c r="H146" s="45">
        <f>F146*G146</f>
        <v>4600</v>
      </c>
      <c r="I146" s="48" t="str">
        <f t="shared" si="4"/>
        <v>스페셜k 오리지날.jpg</v>
      </c>
      <c r="J146" s="44"/>
      <c r="K146" s="50" t="str">
        <f t="shared" si="3"/>
        <v>{"ITM_SEQ":"149","TYPE":"식품","TYPE_DTL":"미정","ITM_NM":"스페셜k 오리지날","PRICE":"4600","UNIT":"1","":"4600","IMG":"스페셜k 오리지날.jpg"},</v>
      </c>
    </row>
    <row r="147" spans="2:11" ht="14.4" hidden="1" customHeight="1">
      <c r="B147" s="69">
        <v>150</v>
      </c>
      <c r="C147" s="61" t="s">
        <v>12</v>
      </c>
      <c r="D147" s="62" t="s">
        <v>380</v>
      </c>
      <c r="E147" s="44" t="s">
        <v>296</v>
      </c>
      <c r="F147" s="57">
        <v>630</v>
      </c>
      <c r="G147" s="58">
        <v>10</v>
      </c>
      <c r="H147" s="45">
        <f>F147*G147</f>
        <v>6300</v>
      </c>
      <c r="I147" s="48" t="str">
        <f t="shared" si="4"/>
        <v>아몬드 빼빼로.jpg</v>
      </c>
      <c r="J147" s="44"/>
      <c r="K147" s="50" t="str">
        <f t="shared" si="3"/>
        <v>{"ITM_SEQ":"150","TYPE":"식품","TYPE_DTL":"미정","ITM_NM":"아몬드 빼빼로","PRICE":"630","UNIT":"10","":"6300","IMG":"아몬드 빼빼로.jpg"},</v>
      </c>
    </row>
    <row r="148" spans="2:11" ht="14.4" hidden="1" customHeight="1">
      <c r="B148" s="69">
        <v>151</v>
      </c>
      <c r="C148" s="61" t="s">
        <v>12</v>
      </c>
      <c r="D148" s="62" t="s">
        <v>380</v>
      </c>
      <c r="E148" s="44" t="s">
        <v>297</v>
      </c>
      <c r="F148" s="57">
        <v>660</v>
      </c>
      <c r="G148" s="58">
        <v>10</v>
      </c>
      <c r="H148" s="45">
        <f>F148*G148</f>
        <v>6600</v>
      </c>
      <c r="I148" s="48" t="str">
        <f t="shared" si="4"/>
        <v>아몬드초코볼.jpg</v>
      </c>
      <c r="J148" s="44"/>
      <c r="K148" s="50" t="str">
        <f t="shared" si="3"/>
        <v>{"ITM_SEQ":"151","TYPE":"식품","TYPE_DTL":"미정","ITM_NM":"아몬드초코볼","PRICE":"660","UNIT":"10","":"6600","IMG":"아몬드초코볼.jpg"},</v>
      </c>
    </row>
    <row r="149" spans="2:11" ht="14.4" hidden="1" customHeight="1">
      <c r="B149" s="69">
        <v>152</v>
      </c>
      <c r="C149" s="61" t="s">
        <v>12</v>
      </c>
      <c r="D149" s="62" t="s">
        <v>380</v>
      </c>
      <c r="E149" s="44" t="s">
        <v>298</v>
      </c>
      <c r="F149" s="57">
        <v>4690</v>
      </c>
      <c r="G149" s="58">
        <v>1</v>
      </c>
      <c r="H149" s="45">
        <f>F149*G149</f>
        <v>4690</v>
      </c>
      <c r="I149" s="48" t="str">
        <f t="shared" si="4"/>
        <v>아몬드푸레이크.jpg</v>
      </c>
      <c r="J149" s="44"/>
      <c r="K149" s="50" t="str">
        <f t="shared" si="3"/>
        <v>{"ITM_SEQ":"152","TYPE":"식품","TYPE_DTL":"미정","ITM_NM":"아몬드푸레이크","PRICE":"4690","UNIT":"1","":"4690","IMG":"아몬드푸레이크.jpg"},</v>
      </c>
    </row>
    <row r="150" spans="2:11" ht="14.4" hidden="1" customHeight="1">
      <c r="B150" s="69">
        <v>153</v>
      </c>
      <c r="C150" s="61" t="s">
        <v>12</v>
      </c>
      <c r="D150" s="62" t="s">
        <v>380</v>
      </c>
      <c r="E150" s="44" t="s">
        <v>307</v>
      </c>
      <c r="F150" s="57">
        <v>630</v>
      </c>
      <c r="G150" s="58">
        <v>10</v>
      </c>
      <c r="H150" s="45">
        <f>F150*G150</f>
        <v>6300</v>
      </c>
      <c r="I150" s="48" t="str">
        <f t="shared" si="4"/>
        <v>안성탕면.jpg</v>
      </c>
      <c r="J150" s="44"/>
      <c r="K150" s="50" t="str">
        <f t="shared" si="3"/>
        <v>{"ITM_SEQ":"153","TYPE":"식품","TYPE_DTL":"미정","ITM_NM":"안성탕면","PRICE":"630","UNIT":"10","":"6300","IMG":"안성탕면.jpg"},</v>
      </c>
    </row>
    <row r="151" spans="2:11" ht="14.4" hidden="1" customHeight="1">
      <c r="B151" s="69">
        <v>154</v>
      </c>
      <c r="C151" s="61" t="s">
        <v>12</v>
      </c>
      <c r="D151" s="62" t="s">
        <v>380</v>
      </c>
      <c r="E151" s="44" t="s">
        <v>309</v>
      </c>
      <c r="F151" s="57">
        <v>2640</v>
      </c>
      <c r="G151" s="58">
        <v>1</v>
      </c>
      <c r="H151" s="45">
        <f>F151*G151</f>
        <v>2640</v>
      </c>
      <c r="I151" s="48" t="str">
        <f t="shared" si="4"/>
        <v>엄마손파이.jpg</v>
      </c>
      <c r="J151" s="44"/>
      <c r="K151" s="50" t="str">
        <f t="shared" si="3"/>
        <v>{"ITM_SEQ":"154","TYPE":"식품","TYPE_DTL":"미정","ITM_NM":"엄마손파이","PRICE":"2640","UNIT":"1","":"2640","IMG":"엄마손파이.jpg"},</v>
      </c>
    </row>
    <row r="152" spans="2:11" ht="14.4" hidden="1" customHeight="1">
      <c r="B152" s="69">
        <v>155</v>
      </c>
      <c r="C152" s="61" t="s">
        <v>12</v>
      </c>
      <c r="D152" s="62" t="s">
        <v>380</v>
      </c>
      <c r="E152" s="44" t="s">
        <v>311</v>
      </c>
      <c r="F152" s="57">
        <v>3180</v>
      </c>
      <c r="G152" s="58">
        <v>1</v>
      </c>
      <c r="H152" s="45">
        <f>F152*G152</f>
        <v>3180</v>
      </c>
      <c r="I152" s="48" t="str">
        <f t="shared" si="4"/>
        <v>옛날볶음참깨.jpg</v>
      </c>
      <c r="J152" s="44"/>
      <c r="K152" s="50" t="str">
        <f t="shared" si="3"/>
        <v>{"ITM_SEQ":"155","TYPE":"식품","TYPE_DTL":"미정","ITM_NM":"옛날볶음참깨","PRICE":"3180","UNIT":"1","":"3180","IMG":"옛날볶음참깨.jpg"},</v>
      </c>
    </row>
    <row r="153" spans="2:11" ht="14.4" hidden="1" customHeight="1">
      <c r="B153" s="69">
        <v>156</v>
      </c>
      <c r="C153" s="61" t="s">
        <v>12</v>
      </c>
      <c r="D153" s="62" t="s">
        <v>380</v>
      </c>
      <c r="E153" s="44" t="s">
        <v>321</v>
      </c>
      <c r="F153" s="57">
        <v>2340</v>
      </c>
      <c r="G153" s="58">
        <v>1</v>
      </c>
      <c r="H153" s="45">
        <f>F153*G153</f>
        <v>2340</v>
      </c>
      <c r="I153" s="48" t="str">
        <f t="shared" si="4"/>
        <v>졸음번쩍껌 울트라파워.jpg</v>
      </c>
      <c r="J153" s="44"/>
      <c r="K153" s="50" t="str">
        <f t="shared" si="3"/>
        <v>{"ITM_SEQ":"156","TYPE":"식품","TYPE_DTL":"미정","ITM_NM":"졸음번쩍껌 울트라파워","PRICE":"2340","UNIT":"1","":"2340","IMG":"졸음번쩍껌 울트라파워.jpg"},</v>
      </c>
    </row>
    <row r="154" spans="2:11" ht="14.4" hidden="1" customHeight="1">
      <c r="B154" s="69">
        <v>157</v>
      </c>
      <c r="C154" s="61" t="s">
        <v>12</v>
      </c>
      <c r="D154" s="62" t="s">
        <v>380</v>
      </c>
      <c r="E154" s="44" t="s">
        <v>322</v>
      </c>
      <c r="F154" s="57">
        <v>550</v>
      </c>
      <c r="G154" s="58">
        <v>10</v>
      </c>
      <c r="H154" s="45">
        <f>F154*G154</f>
        <v>5500</v>
      </c>
      <c r="I154" s="48" t="str">
        <f t="shared" si="4"/>
        <v>진라면.jpg</v>
      </c>
      <c r="J154" s="44"/>
      <c r="K154" s="50" t="str">
        <f t="shared" si="3"/>
        <v>{"ITM_SEQ":"157","TYPE":"식품","TYPE_DTL":"미정","ITM_NM":"진라면","PRICE":"550","UNIT":"10","":"5500","IMG":"진라면.jpg"},</v>
      </c>
    </row>
    <row r="155" spans="2:11" ht="14.4" hidden="1" customHeight="1">
      <c r="B155" s="69">
        <v>158</v>
      </c>
      <c r="C155" s="61" t="s">
        <v>12</v>
      </c>
      <c r="D155" s="62" t="s">
        <v>380</v>
      </c>
      <c r="E155" s="44" t="s">
        <v>323</v>
      </c>
      <c r="F155" s="57">
        <v>840</v>
      </c>
      <c r="G155" s="58">
        <v>10</v>
      </c>
      <c r="H155" s="45">
        <f>F155*G155</f>
        <v>8400</v>
      </c>
      <c r="I155" s="48" t="str">
        <f t="shared" si="4"/>
        <v>짜파게티.jpg</v>
      </c>
      <c r="J155" s="44"/>
      <c r="K155" s="50" t="str">
        <f t="shared" si="3"/>
        <v>{"ITM_SEQ":"158","TYPE":"식품","TYPE_DTL":"미정","ITM_NM":"짜파게티","PRICE":"840","UNIT":"10","":"8400","IMG":"짜파게티.jpg"},</v>
      </c>
    </row>
    <row r="156" spans="2:11" ht="14.4" hidden="1" customHeight="1">
      <c r="B156" s="69">
        <v>159</v>
      </c>
      <c r="C156" s="61" t="s">
        <v>12</v>
      </c>
      <c r="D156" s="62" t="s">
        <v>380</v>
      </c>
      <c r="E156" s="44" t="s">
        <v>324</v>
      </c>
      <c r="F156" s="57">
        <v>2390</v>
      </c>
      <c r="G156" s="58">
        <v>1</v>
      </c>
      <c r="H156" s="45">
        <f>F156*G156</f>
        <v>2390</v>
      </c>
      <c r="I156" s="48" t="str">
        <f t="shared" si="4"/>
        <v>짜파게티 만능소스.jpg</v>
      </c>
      <c r="J156" s="44"/>
      <c r="K156" s="50" t="str">
        <f t="shared" si="3"/>
        <v>{"ITM_SEQ":"159","TYPE":"식품","TYPE_DTL":"미정","ITM_NM":"짜파게티 만능소스","PRICE":"2390","UNIT":"1","":"2390","IMG":"짜파게티 만능소스.jpg"},</v>
      </c>
    </row>
    <row r="157" spans="2:11" ht="14.4" hidden="1" customHeight="1">
      <c r="B157" s="69">
        <v>160</v>
      </c>
      <c r="C157" s="61" t="s">
        <v>12</v>
      </c>
      <c r="D157" s="62" t="s">
        <v>380</v>
      </c>
      <c r="E157" s="44" t="s">
        <v>325</v>
      </c>
      <c r="F157" s="57">
        <v>4080</v>
      </c>
      <c r="G157" s="58">
        <v>1</v>
      </c>
      <c r="H157" s="45">
        <f>F157*G157</f>
        <v>4080</v>
      </c>
      <c r="I157" s="48" t="str">
        <f t="shared" si="4"/>
        <v>첵스초코.jpg</v>
      </c>
      <c r="J157" s="44"/>
      <c r="K157" s="50" t="str">
        <f t="shared" si="3"/>
        <v>{"ITM_SEQ":"160","TYPE":"식품","TYPE_DTL":"미정","ITM_NM":"첵스초코","PRICE":"4080","UNIT":"1","":"4080","IMG":"첵스초코.jpg"},</v>
      </c>
    </row>
    <row r="158" spans="2:11" ht="14.4" hidden="1" customHeight="1">
      <c r="B158" s="69">
        <v>161</v>
      </c>
      <c r="C158" s="61" t="s">
        <v>12</v>
      </c>
      <c r="D158" s="62" t="s">
        <v>380</v>
      </c>
      <c r="E158" s="44" t="s">
        <v>326</v>
      </c>
      <c r="F158" s="57">
        <v>2120</v>
      </c>
      <c r="G158" s="58">
        <v>1</v>
      </c>
      <c r="H158" s="45">
        <f>F158*G158</f>
        <v>2120</v>
      </c>
      <c r="I158" s="48" t="str">
        <f t="shared" si="4"/>
        <v>초코틴인틴.jpg</v>
      </c>
      <c r="J158" s="44"/>
      <c r="K158" s="50" t="str">
        <f t="shared" si="3"/>
        <v>{"ITM_SEQ":"161","TYPE":"식품","TYPE_DTL":"미정","ITM_NM":"초코틴인틴","PRICE":"2120","UNIT":"1","":"2120","IMG":"초코틴인틴.jpg"},</v>
      </c>
    </row>
    <row r="159" spans="2:11" ht="14.4" hidden="1" customHeight="1">
      <c r="B159" s="69">
        <v>162</v>
      </c>
      <c r="C159" s="61" t="s">
        <v>12</v>
      </c>
      <c r="D159" s="62" t="s">
        <v>380</v>
      </c>
      <c r="E159" s="44" t="s">
        <v>327</v>
      </c>
      <c r="F159" s="57">
        <v>2850</v>
      </c>
      <c r="G159" s="58">
        <v>1</v>
      </c>
      <c r="H159" s="45">
        <f>F159*G159</f>
        <v>2850</v>
      </c>
      <c r="I159" s="48" t="str">
        <f t="shared" si="4"/>
        <v>초코파이.jpg</v>
      </c>
      <c r="J159" s="44"/>
      <c r="K159" s="50" t="str">
        <f t="shared" si="3"/>
        <v>{"ITM_SEQ":"162","TYPE":"식품","TYPE_DTL":"미정","ITM_NM":"초코파이","PRICE":"2850","UNIT":"1","":"2850","IMG":"초코파이.jpg"},</v>
      </c>
    </row>
    <row r="160" spans="2:11" ht="14.4" hidden="1" customHeight="1">
      <c r="B160" s="69">
        <v>163</v>
      </c>
      <c r="C160" s="61" t="s">
        <v>12</v>
      </c>
      <c r="D160" s="62" t="s">
        <v>380</v>
      </c>
      <c r="E160" s="44" t="s">
        <v>328</v>
      </c>
      <c r="F160" s="57">
        <v>420</v>
      </c>
      <c r="G160" s="58">
        <v>30</v>
      </c>
      <c r="H160" s="45">
        <f>F160*G160</f>
        <v>12600</v>
      </c>
      <c r="I160" s="48" t="str">
        <f t="shared" si="4"/>
        <v>칠성사이다제로(250ml).jpg</v>
      </c>
      <c r="J160" s="44"/>
      <c r="K160" s="50" t="str">
        <f t="shared" si="3"/>
        <v>{"ITM_SEQ":"163","TYPE":"식품","TYPE_DTL":"미정","ITM_NM":"칠성사이다제로(250ml)","PRICE":"420","UNIT":"30","":"12600","IMG":"칠성사이다제로(250ml).jpg"},</v>
      </c>
    </row>
    <row r="161" spans="2:11" ht="14.4" hidden="1" customHeight="1">
      <c r="B161" s="69">
        <v>164</v>
      </c>
      <c r="C161" s="61" t="s">
        <v>12</v>
      </c>
      <c r="D161" s="62" t="s">
        <v>380</v>
      </c>
      <c r="E161" s="44" t="s">
        <v>329</v>
      </c>
      <c r="F161" s="57">
        <v>770</v>
      </c>
      <c r="G161" s="58">
        <v>20</v>
      </c>
      <c r="H161" s="45">
        <f>F161*G161</f>
        <v>15400</v>
      </c>
      <c r="I161" s="48" t="str">
        <f t="shared" si="4"/>
        <v>칠성사이다제로(500ml).jpg</v>
      </c>
      <c r="J161" s="44"/>
      <c r="K161" s="50" t="str">
        <f t="shared" si="3"/>
        <v>{"ITM_SEQ":"164","TYPE":"식품","TYPE_DTL":"미정","ITM_NM":"칠성사이다제로(500ml)","PRICE":"770","UNIT":"20","":"15400","IMG":"칠성사이다제로(500ml).jpg"},</v>
      </c>
    </row>
    <row r="162" spans="2:11" ht="14.4" hidden="1" customHeight="1">
      <c r="B162" s="69">
        <v>165</v>
      </c>
      <c r="C162" s="61" t="s">
        <v>12</v>
      </c>
      <c r="D162" s="62" t="s">
        <v>380</v>
      </c>
      <c r="E162" s="44" t="s">
        <v>330</v>
      </c>
      <c r="F162" s="57">
        <v>640</v>
      </c>
      <c r="G162" s="58">
        <v>10</v>
      </c>
      <c r="H162" s="45">
        <f>F162*G162</f>
        <v>6400</v>
      </c>
      <c r="I162" s="48" t="str">
        <f t="shared" si="4"/>
        <v>칸타타아이스카라멜마키아토.jpg</v>
      </c>
      <c r="J162" s="44"/>
      <c r="K162" s="50" t="str">
        <f t="shared" si="3"/>
        <v>{"ITM_SEQ":"165","TYPE":"식품","TYPE_DTL":"미정","ITM_NM":"칸타타아이스카라멜마키아토","PRICE":"640","UNIT":"10","":"6400","IMG":"칸타타아이스카라멜마키아토.jpg"},</v>
      </c>
    </row>
    <row r="163" spans="2:11" ht="14.4" hidden="1" customHeight="1">
      <c r="B163" s="69">
        <v>166</v>
      </c>
      <c r="C163" s="61" t="s">
        <v>12</v>
      </c>
      <c r="D163" s="62" t="s">
        <v>380</v>
      </c>
      <c r="E163" s="44" t="s">
        <v>334</v>
      </c>
      <c r="F163" s="57">
        <v>6040</v>
      </c>
      <c r="G163" s="58">
        <v>1</v>
      </c>
      <c r="H163" s="45">
        <f>F163*G163</f>
        <v>6040</v>
      </c>
      <c r="I163" s="48" t="str">
        <f t="shared" si="4"/>
        <v>코주부 CLASSIC 육포 HOT &amp; SPICY 130g.jpg</v>
      </c>
      <c r="J163" s="44"/>
      <c r="K163" s="50" t="str">
        <f t="shared" si="3"/>
        <v>{"ITM_SEQ":"166","TYPE":"식품","TYPE_DTL":"미정","ITM_NM":"코주부 CLASSIC 육포 HOT &amp; SPICY 130g","PRICE":"6040","UNIT":"1","":"6040","IMG":"코주부 CLASSIC 육포 HOT &amp; SPICY 130g.jpg"},</v>
      </c>
    </row>
    <row r="164" spans="2:11" ht="14.4" hidden="1" customHeight="1">
      <c r="B164" s="69">
        <v>167</v>
      </c>
      <c r="C164" s="61" t="s">
        <v>12</v>
      </c>
      <c r="D164" s="62" t="s">
        <v>380</v>
      </c>
      <c r="E164" s="44" t="s">
        <v>335</v>
      </c>
      <c r="F164" s="57">
        <v>7130</v>
      </c>
      <c r="G164" s="58">
        <v>1</v>
      </c>
      <c r="H164" s="45">
        <f>F164*G164</f>
        <v>7130</v>
      </c>
      <c r="I164" s="48" t="str">
        <f t="shared" si="4"/>
        <v>코주부 CLASSIC 육포 Mild 130g.jpg</v>
      </c>
      <c r="J164" s="44"/>
      <c r="K164" s="50" t="str">
        <f t="shared" si="3"/>
        <v>{"ITM_SEQ":"167","TYPE":"식품","TYPE_DTL":"미정","ITM_NM":"코주부 CLASSIC 육포 Mild 130g","PRICE":"7130","UNIT":"1","":"7130","IMG":"코주부 CLASSIC 육포 Mild 130g.jpg"},</v>
      </c>
    </row>
    <row r="165" spans="2:11" ht="14.4" hidden="1" customHeight="1">
      <c r="B165" s="69">
        <v>168</v>
      </c>
      <c r="C165" s="61" t="s">
        <v>12</v>
      </c>
      <c r="D165" s="62" t="s">
        <v>380</v>
      </c>
      <c r="E165" s="44" t="s">
        <v>336</v>
      </c>
      <c r="F165" s="57">
        <v>900</v>
      </c>
      <c r="G165" s="58">
        <v>24</v>
      </c>
      <c r="H165" s="45">
        <f>F165*G165</f>
        <v>21600</v>
      </c>
      <c r="I165" s="48" t="str">
        <f t="shared" si="4"/>
        <v>콘트라베이스디카페인블랙.jpg</v>
      </c>
      <c r="J165" s="44"/>
      <c r="K165" s="50" t="str">
        <f t="shared" si="3"/>
        <v>{"ITM_SEQ":"168","TYPE":"식품","TYPE_DTL":"미정","ITM_NM":"콘트라베이스디카페인블랙","PRICE":"900","UNIT":"24","":"21600","IMG":"콘트라베이스디카페인블랙.jpg"},</v>
      </c>
    </row>
    <row r="166" spans="2:11" ht="14.4" hidden="1" customHeight="1">
      <c r="B166" s="69">
        <v>169</v>
      </c>
      <c r="C166" s="61" t="s">
        <v>12</v>
      </c>
      <c r="D166" s="62" t="s">
        <v>380</v>
      </c>
      <c r="E166" s="44" t="s">
        <v>337</v>
      </c>
      <c r="F166" s="57">
        <v>1490</v>
      </c>
      <c r="G166" s="58">
        <v>5</v>
      </c>
      <c r="H166" s="45">
        <f>F166*G166</f>
        <v>7450</v>
      </c>
      <c r="I166" s="48" t="str">
        <f t="shared" si="4"/>
        <v>쿠크다스케이크.jpg</v>
      </c>
      <c r="J166" s="44"/>
      <c r="K166" s="50" t="str">
        <f t="shared" ref="K166:K223" si="5">_xlfn.CONCAT("{""",$B$3,""":""",B166,""",""",$C$3,""":""",C166,""",""",$D$3,""":""",D166,""",""",$E$3,""":""",E166,""",""",$F$3,""":""",F166,""",""",$G$3,""":""",G166,""",""",$H$3,""":""",H166,""",""",$I$3,""":""",I166,"""},")</f>
        <v>{"ITM_SEQ":"169","TYPE":"식품","TYPE_DTL":"미정","ITM_NM":"쿠크다스케이크","PRICE":"1490","UNIT":"5","":"7450","IMG":"쿠크다스케이크.jpg"},</v>
      </c>
    </row>
    <row r="167" spans="2:11" ht="14.4" hidden="1" customHeight="1">
      <c r="B167" s="69">
        <v>170</v>
      </c>
      <c r="C167" s="61" t="s">
        <v>12</v>
      </c>
      <c r="D167" s="62" t="s">
        <v>380</v>
      </c>
      <c r="E167" s="44" t="s">
        <v>339</v>
      </c>
      <c r="F167" s="57">
        <v>1390</v>
      </c>
      <c r="G167" s="58">
        <v>10</v>
      </c>
      <c r="H167" s="45">
        <f>F167*G167</f>
        <v>13900</v>
      </c>
      <c r="I167" s="48" t="str">
        <f t="shared" si="4"/>
        <v>퀘이커 마시는 오트밀 단백질, 80g.jpg</v>
      </c>
      <c r="J167" s="44"/>
      <c r="K167" s="50" t="str">
        <f t="shared" si="5"/>
        <v>{"ITM_SEQ":"170","TYPE":"식품","TYPE_DTL":"미정","ITM_NM":"퀘이커 마시는 오트밀 단백질, 80g","PRICE":"1390","UNIT":"10","":"13900","IMG":"퀘이커 마시는 오트밀 단백질, 80g.jpg"},</v>
      </c>
    </row>
    <row r="168" spans="2:11" ht="14.4" hidden="1" customHeight="1">
      <c r="B168" s="69">
        <v>171</v>
      </c>
      <c r="C168" s="61" t="s">
        <v>12</v>
      </c>
      <c r="D168" s="62" t="s">
        <v>380</v>
      </c>
      <c r="E168" s="44" t="s">
        <v>340</v>
      </c>
      <c r="F168" s="57">
        <v>940</v>
      </c>
      <c r="G168" s="58">
        <v>10</v>
      </c>
      <c r="H168" s="45">
        <f>F168*G168</f>
        <v>9400</v>
      </c>
      <c r="I168" s="48" t="str">
        <f t="shared" si="4"/>
        <v>퀘이커 마시는 오트밀 오트&amp;우리쌀, 50g.jpg</v>
      </c>
      <c r="J168" s="44"/>
      <c r="K168" s="50" t="str">
        <f t="shared" si="5"/>
        <v>{"ITM_SEQ":"171","TYPE":"식품","TYPE_DTL":"미정","ITM_NM":"퀘이커 마시는 오트밀 오트&amp;우리쌀, 50g","PRICE":"940","UNIT":"10","":"9400","IMG":"퀘이커 마시는 오트밀 오트&amp;우리쌀, 50g.jpg"},</v>
      </c>
    </row>
    <row r="169" spans="2:11" ht="14.4" hidden="1" customHeight="1">
      <c r="B169" s="69">
        <v>172</v>
      </c>
      <c r="C169" s="61" t="s">
        <v>12</v>
      </c>
      <c r="D169" s="62" t="s">
        <v>380</v>
      </c>
      <c r="E169" s="44" t="s">
        <v>341</v>
      </c>
      <c r="F169" s="57">
        <v>1080</v>
      </c>
      <c r="G169" s="58">
        <v>10</v>
      </c>
      <c r="H169" s="45">
        <f>F169*G169</f>
        <v>10800</v>
      </c>
      <c r="I169" s="48" t="str">
        <f t="shared" si="4"/>
        <v>퀘이커 마시는 오트밀 찰옥수수, 50g.jpg</v>
      </c>
      <c r="J169" s="44"/>
      <c r="K169" s="50" t="str">
        <f t="shared" si="5"/>
        <v>{"ITM_SEQ":"172","TYPE":"식품","TYPE_DTL":"미정","ITM_NM":"퀘이커 마시는 오트밀 찰옥수수, 50g","PRICE":"1080","UNIT":"10","":"10800","IMG":"퀘이커 마시는 오트밀 찰옥수수, 50g.jpg"},</v>
      </c>
    </row>
    <row r="170" spans="2:11" ht="14.4" hidden="1" customHeight="1">
      <c r="B170" s="69">
        <v>173</v>
      </c>
      <c r="C170" s="61" t="s">
        <v>12</v>
      </c>
      <c r="D170" s="62" t="s">
        <v>380</v>
      </c>
      <c r="E170" s="44" t="s">
        <v>342</v>
      </c>
      <c r="F170" s="57">
        <v>1830</v>
      </c>
      <c r="G170" s="58">
        <v>5</v>
      </c>
      <c r="H170" s="45">
        <f>F170*G170</f>
        <v>9150</v>
      </c>
      <c r="I170" s="48" t="str">
        <f t="shared" si="4"/>
        <v>크라운산도딸기.jpg</v>
      </c>
      <c r="J170" s="44"/>
      <c r="K170" s="50" t="str">
        <f t="shared" si="5"/>
        <v>{"ITM_SEQ":"173","TYPE":"식품","TYPE_DTL":"미정","ITM_NM":"크라운산도딸기","PRICE":"1830","UNIT":"5","":"9150","IMG":"크라운산도딸기.jpg"},</v>
      </c>
    </row>
    <row r="171" spans="2:11" ht="14.4" hidden="1" customHeight="1">
      <c r="B171" s="69">
        <v>174</v>
      </c>
      <c r="C171" s="61" t="s">
        <v>12</v>
      </c>
      <c r="D171" s="62" t="s">
        <v>380</v>
      </c>
      <c r="E171" s="44" t="s">
        <v>343</v>
      </c>
      <c r="F171" s="57">
        <v>680</v>
      </c>
      <c r="G171" s="58">
        <v>10</v>
      </c>
      <c r="H171" s="45">
        <f>F171*G171</f>
        <v>6800</v>
      </c>
      <c r="I171" s="48" t="str">
        <f t="shared" si="4"/>
        <v>크런키 빼빼로.jpg</v>
      </c>
      <c r="J171" s="44"/>
      <c r="K171" s="50" t="str">
        <f t="shared" si="5"/>
        <v>{"ITM_SEQ":"174","TYPE":"식품","TYPE_DTL":"미정","ITM_NM":"크런키 빼빼로","PRICE":"680","UNIT":"10","":"6800","IMG":"크런키 빼빼로.jpg"},</v>
      </c>
    </row>
    <row r="172" spans="2:11" ht="14.4" hidden="1" customHeight="1">
      <c r="B172" s="69">
        <v>175</v>
      </c>
      <c r="C172" s="61" t="s">
        <v>12</v>
      </c>
      <c r="D172" s="62" t="s">
        <v>380</v>
      </c>
      <c r="E172" s="44" t="s">
        <v>344</v>
      </c>
      <c r="F172" s="57">
        <v>410</v>
      </c>
      <c r="G172" s="58">
        <v>15</v>
      </c>
      <c r="H172" s="45">
        <f>F172*G172</f>
        <v>6150</v>
      </c>
      <c r="I172" s="48" t="str">
        <f t="shared" si="4"/>
        <v>키캣 4핑거.jpg</v>
      </c>
      <c r="J172" s="44"/>
      <c r="K172" s="50" t="str">
        <f t="shared" si="5"/>
        <v>{"ITM_SEQ":"175","TYPE":"식품","TYPE_DTL":"미정","ITM_NM":"키캣 4핑거","PRICE":"410","UNIT":"15","":"6150","IMG":"키캣 4핑거.jpg"},</v>
      </c>
    </row>
    <row r="173" spans="2:11" ht="14.4" hidden="1" customHeight="1">
      <c r="B173" s="69">
        <v>176</v>
      </c>
      <c r="C173" s="61" t="s">
        <v>12</v>
      </c>
      <c r="D173" s="62" t="s">
        <v>380</v>
      </c>
      <c r="E173" s="44" t="s">
        <v>84</v>
      </c>
      <c r="F173" s="57">
        <v>450</v>
      </c>
      <c r="G173" s="58">
        <v>15</v>
      </c>
      <c r="H173" s="45">
        <f>F173*G173</f>
        <v>6750</v>
      </c>
      <c r="I173" s="48" t="str">
        <f t="shared" si="4"/>
        <v>키커바.jpg</v>
      </c>
      <c r="J173" s="44"/>
      <c r="K173" s="50" t="str">
        <f t="shared" si="5"/>
        <v>{"ITM_SEQ":"176","TYPE":"식품","TYPE_DTL":"미정","ITM_NM":"키커바","PRICE":"450","UNIT":"15","":"6750","IMG":"키커바.jpg"},</v>
      </c>
    </row>
    <row r="174" spans="2:11" ht="14.4" hidden="1" customHeight="1">
      <c r="B174" s="69">
        <v>177</v>
      </c>
      <c r="C174" s="61" t="s">
        <v>12</v>
      </c>
      <c r="D174" s="62" t="s">
        <v>380</v>
      </c>
      <c r="E174" s="44" t="s">
        <v>346</v>
      </c>
      <c r="F174" s="57">
        <v>4000</v>
      </c>
      <c r="G174" s="58">
        <v>1</v>
      </c>
      <c r="H174" s="45">
        <f>F174*G174</f>
        <v>4000</v>
      </c>
      <c r="I174" s="48" t="str">
        <f t="shared" si="4"/>
        <v>탑플롯젤리 망고맛.jpg</v>
      </c>
      <c r="J174" s="44"/>
      <c r="K174" s="50" t="str">
        <f t="shared" si="5"/>
        <v>{"ITM_SEQ":"177","TYPE":"식품","TYPE_DTL":"미정","ITM_NM":"탑플롯젤리 망고맛","PRICE":"4000","UNIT":"1","":"4000","IMG":"탑플롯젤리 망고맛.jpg"},</v>
      </c>
    </row>
    <row r="175" spans="2:11" ht="14.4" hidden="1" customHeight="1">
      <c r="B175" s="69">
        <v>178</v>
      </c>
      <c r="C175" s="61" t="s">
        <v>12</v>
      </c>
      <c r="D175" s="62" t="s">
        <v>380</v>
      </c>
      <c r="E175" s="44" t="s">
        <v>348</v>
      </c>
      <c r="F175" s="57">
        <v>10420</v>
      </c>
      <c r="G175" s="58">
        <v>1</v>
      </c>
      <c r="H175" s="45">
        <f>F175*G175</f>
        <v>10420</v>
      </c>
      <c r="I175" s="48" t="str">
        <f t="shared" si="4"/>
        <v>트러플오일.jpg</v>
      </c>
      <c r="J175" s="44"/>
      <c r="K175" s="50" t="str">
        <f t="shared" si="5"/>
        <v>{"ITM_SEQ":"178","TYPE":"식품","TYPE_DTL":"미정","ITM_NM":"트러플오일","PRICE":"10420","UNIT":"1","":"10420","IMG":"트러플오일.jpg"},</v>
      </c>
    </row>
    <row r="176" spans="2:11" ht="14.4" hidden="1" customHeight="1">
      <c r="B176" s="69">
        <v>179</v>
      </c>
      <c r="C176" s="61" t="s">
        <v>12</v>
      </c>
      <c r="D176" s="62" t="s">
        <v>380</v>
      </c>
      <c r="E176" s="44" t="s">
        <v>350</v>
      </c>
      <c r="F176" s="57">
        <v>2120</v>
      </c>
      <c r="G176" s="58">
        <v>1</v>
      </c>
      <c r="H176" s="45">
        <f>F176*G176</f>
        <v>2120</v>
      </c>
      <c r="I176" s="48" t="str">
        <f t="shared" si="4"/>
        <v>틴인틴.jpg</v>
      </c>
      <c r="J176" s="44"/>
      <c r="K176" s="50" t="str">
        <f t="shared" si="5"/>
        <v>{"ITM_SEQ":"179","TYPE":"식품","TYPE_DTL":"미정","ITM_NM":"틴인틴","PRICE":"2120","UNIT":"1","":"2120","IMG":"틴인틴.jpg"},</v>
      </c>
    </row>
    <row r="177" spans="2:11" ht="14.4" hidden="1" customHeight="1">
      <c r="B177" s="69">
        <v>180</v>
      </c>
      <c r="C177" s="61" t="s">
        <v>12</v>
      </c>
      <c r="D177" s="62" t="s">
        <v>380</v>
      </c>
      <c r="E177" s="44" t="s">
        <v>86</v>
      </c>
      <c r="F177" s="57">
        <v>720</v>
      </c>
      <c r="G177" s="58">
        <v>20</v>
      </c>
      <c r="H177" s="45">
        <f>F177*G177</f>
        <v>14400</v>
      </c>
      <c r="I177" s="48" t="str">
        <f t="shared" si="4"/>
        <v>펩시제로슈거라임 500ml.jpg</v>
      </c>
      <c r="J177" s="44"/>
      <c r="K177" s="50" t="str">
        <f t="shared" si="5"/>
        <v>{"ITM_SEQ":"180","TYPE":"식품","TYPE_DTL":"미정","ITM_NM":"펩시제로슈거라임 500ml","PRICE":"720","UNIT":"20","":"14400","IMG":"펩시제로슈거라임 500ml.jpg"},</v>
      </c>
    </row>
    <row r="178" spans="2:11" ht="14.4" hidden="1" customHeight="1">
      <c r="B178" s="69">
        <v>181</v>
      </c>
      <c r="C178" s="61" t="s">
        <v>12</v>
      </c>
      <c r="D178" s="62" t="s">
        <v>380</v>
      </c>
      <c r="E178" s="44" t="s">
        <v>352</v>
      </c>
      <c r="F178" s="57">
        <v>1250</v>
      </c>
      <c r="G178" s="58">
        <v>12</v>
      </c>
      <c r="H178" s="45">
        <f>F178*G178</f>
        <v>15000</v>
      </c>
      <c r="I178" s="48" t="str">
        <f t="shared" si="4"/>
        <v>프링글스.jpg</v>
      </c>
      <c r="J178" s="44"/>
      <c r="K178" s="50" t="str">
        <f t="shared" si="5"/>
        <v>{"ITM_SEQ":"181","TYPE":"식품","TYPE_DTL":"미정","ITM_NM":"프링글스","PRICE":"1250","UNIT":"12","":"15000","IMG":"프링글스.jpg"},</v>
      </c>
    </row>
    <row r="179" spans="2:11" ht="14.4" hidden="1" customHeight="1">
      <c r="B179" s="69">
        <v>182</v>
      </c>
      <c r="C179" s="61" t="s">
        <v>12</v>
      </c>
      <c r="D179" s="62" t="s">
        <v>380</v>
      </c>
      <c r="E179" s="44" t="s">
        <v>79</v>
      </c>
      <c r="F179" s="57">
        <v>1400</v>
      </c>
      <c r="G179" s="58">
        <v>12</v>
      </c>
      <c r="H179" s="45">
        <f>F179*G179</f>
        <v>16800</v>
      </c>
      <c r="I179" s="48" t="str">
        <f t="shared" si="4"/>
        <v>프링글스 리치치즈갈릭.jpg</v>
      </c>
      <c r="J179" s="44"/>
      <c r="K179" s="50" t="str">
        <f t="shared" si="5"/>
        <v>{"ITM_SEQ":"182","TYPE":"식품","TYPE_DTL":"미정","ITM_NM":"프링글스 리치치즈갈릭","PRICE":"1400","UNIT":"12","":"16800","IMG":"프링글스 리치치즈갈릭.jpg"},</v>
      </c>
    </row>
    <row r="180" spans="2:11" ht="14.4" hidden="1" customHeight="1">
      <c r="B180" s="69">
        <v>183</v>
      </c>
      <c r="C180" s="61" t="s">
        <v>12</v>
      </c>
      <c r="D180" s="62" t="s">
        <v>380</v>
      </c>
      <c r="E180" s="44" t="s">
        <v>80</v>
      </c>
      <c r="F180" s="57">
        <v>1250</v>
      </c>
      <c r="G180" s="58">
        <v>12</v>
      </c>
      <c r="H180" s="45">
        <f>F180*G180</f>
        <v>15000</v>
      </c>
      <c r="I180" s="48" t="str">
        <f t="shared" si="4"/>
        <v>프링글스 버터카라멜.jpg</v>
      </c>
      <c r="J180" s="44"/>
      <c r="K180" s="50" t="str">
        <f t="shared" si="5"/>
        <v>{"ITM_SEQ":"183","TYPE":"식품","TYPE_DTL":"미정","ITM_NM":"프링글스 버터카라멜","PRICE":"1250","UNIT":"12","":"15000","IMG":"프링글스 버터카라멜.jpg"},</v>
      </c>
    </row>
    <row r="181" spans="2:11" ht="14.4" hidden="1" customHeight="1">
      <c r="B181" s="69">
        <v>184</v>
      </c>
      <c r="C181" s="61" t="s">
        <v>12</v>
      </c>
      <c r="D181" s="62" t="s">
        <v>380</v>
      </c>
      <c r="E181" s="44" t="s">
        <v>353</v>
      </c>
      <c r="F181" s="57">
        <v>1250</v>
      </c>
      <c r="G181" s="58">
        <v>12</v>
      </c>
      <c r="H181" s="45">
        <f>F181*G181</f>
        <v>15000</v>
      </c>
      <c r="I181" s="48" t="str">
        <f t="shared" si="4"/>
        <v>프링글스 양파맛.jpg</v>
      </c>
      <c r="J181" s="44"/>
      <c r="K181" s="50" t="str">
        <f t="shared" si="5"/>
        <v>{"ITM_SEQ":"184","TYPE":"식품","TYPE_DTL":"미정","ITM_NM":"프링글스 양파맛","PRICE":"1250","UNIT":"12","":"15000","IMG":"프링글스 양파맛.jpg"},</v>
      </c>
    </row>
    <row r="182" spans="2:11" ht="14.4" hidden="1" customHeight="1">
      <c r="B182" s="69">
        <v>185</v>
      </c>
      <c r="C182" s="61" t="s">
        <v>12</v>
      </c>
      <c r="D182" s="62" t="s">
        <v>380</v>
      </c>
      <c r="E182" s="44" t="s">
        <v>82</v>
      </c>
      <c r="F182" s="57">
        <v>1250</v>
      </c>
      <c r="G182" s="58">
        <v>12</v>
      </c>
      <c r="H182" s="45">
        <f>F182*G182</f>
        <v>15000</v>
      </c>
      <c r="I182" s="48" t="str">
        <f t="shared" si="4"/>
        <v>프링글스 핫앤스파이시.jpg</v>
      </c>
      <c r="J182" s="44"/>
      <c r="K182" s="50" t="str">
        <f t="shared" si="5"/>
        <v>{"ITM_SEQ":"185","TYPE":"식품","TYPE_DTL":"미정","ITM_NM":"프링글스 핫앤스파이시","PRICE":"1250","UNIT":"12","":"15000","IMG":"프링글스 핫앤스파이시.jpg"},</v>
      </c>
    </row>
    <row r="183" spans="2:11" ht="14.4" hidden="1" customHeight="1">
      <c r="B183" s="69">
        <v>186</v>
      </c>
      <c r="C183" s="61" t="s">
        <v>12</v>
      </c>
      <c r="D183" s="62" t="s">
        <v>380</v>
      </c>
      <c r="E183" s="44" t="s">
        <v>354</v>
      </c>
      <c r="F183" s="57">
        <v>500</v>
      </c>
      <c r="G183" s="58">
        <v>10</v>
      </c>
      <c r="H183" s="45">
        <f>F183*G183</f>
        <v>5000</v>
      </c>
      <c r="I183" s="48" t="str">
        <f t="shared" si="4"/>
        <v>피시스낵 스파이스맛.jpg</v>
      </c>
      <c r="J183" s="44"/>
      <c r="K183" s="50" t="str">
        <f t="shared" si="5"/>
        <v>{"ITM_SEQ":"186","TYPE":"식품","TYPE_DTL":"미정","ITM_NM":"피시스낵 스파이스맛","PRICE":"500","UNIT":"10","":"5000","IMG":"피시스낵 스파이스맛.jpg"},</v>
      </c>
    </row>
    <row r="184" spans="2:11" ht="14.4" hidden="1" customHeight="1">
      <c r="B184" s="69">
        <v>187</v>
      </c>
      <c r="C184" s="61" t="s">
        <v>12</v>
      </c>
      <c r="D184" s="62" t="s">
        <v>380</v>
      </c>
      <c r="E184" s="44" t="s">
        <v>355</v>
      </c>
      <c r="F184" s="57">
        <v>1910</v>
      </c>
      <c r="G184" s="58">
        <v>1</v>
      </c>
      <c r="H184" s="45">
        <f>F184*G184</f>
        <v>1910</v>
      </c>
      <c r="I184" s="48" t="str">
        <f t="shared" si="4"/>
        <v>할리스 아메리카노 1000ml.jpg</v>
      </c>
      <c r="J184" s="44"/>
      <c r="K184" s="50" t="str">
        <f t="shared" si="5"/>
        <v>{"ITM_SEQ":"187","TYPE":"식품","TYPE_DTL":"미정","ITM_NM":"할리스 아메리카노 1000ml","PRICE":"1910","UNIT":"1","":"1910","IMG":"할리스 아메리카노 1000ml.jpg"},</v>
      </c>
    </row>
    <row r="185" spans="2:11" ht="14.4" hidden="1" customHeight="1">
      <c r="B185" s="69">
        <v>188</v>
      </c>
      <c r="C185" s="61" t="s">
        <v>12</v>
      </c>
      <c r="D185" s="62" t="s">
        <v>380</v>
      </c>
      <c r="E185" s="44" t="s">
        <v>87</v>
      </c>
      <c r="F185" s="57">
        <v>710</v>
      </c>
      <c r="G185" s="58">
        <v>24</v>
      </c>
      <c r="H185" s="45">
        <f>F185*G185</f>
        <v>17040</v>
      </c>
      <c r="I185" s="48" t="str">
        <f t="shared" si="4"/>
        <v>핫식스더킹러쉬 355ml.jpg</v>
      </c>
      <c r="J185" s="44"/>
      <c r="K185" s="50" t="str">
        <f t="shared" si="5"/>
        <v>{"ITM_SEQ":"188","TYPE":"식품","TYPE_DTL":"미정","ITM_NM":"핫식스더킹러쉬 355ml","PRICE":"710","UNIT":"24","":"17040","IMG":"핫식스더킹러쉬 355ml.jpg"},</v>
      </c>
    </row>
    <row r="186" spans="2:11" ht="14.4" hidden="1" customHeight="1">
      <c r="B186" s="69">
        <v>189</v>
      </c>
      <c r="C186" s="61" t="s">
        <v>12</v>
      </c>
      <c r="D186" s="62" t="s">
        <v>380</v>
      </c>
      <c r="E186" s="44" t="s">
        <v>372</v>
      </c>
      <c r="F186" s="57">
        <v>850</v>
      </c>
      <c r="G186" s="58">
        <v>24</v>
      </c>
      <c r="H186" s="45">
        <f>F186*G186</f>
        <v>20400</v>
      </c>
      <c r="I186" s="48" t="str">
        <f t="shared" si="4"/>
        <v>핫식스더킹크러쉬피치 355ml.jpg</v>
      </c>
      <c r="J186" s="44"/>
      <c r="K186" s="50" t="str">
        <f t="shared" si="5"/>
        <v>{"ITM_SEQ":"189","TYPE":"식품","TYPE_DTL":"미정","ITM_NM":"핫식스더킹크러쉬피치 355ml","PRICE":"850","UNIT":"24","":"20400","IMG":"핫식스더킹크러쉬피치 355ml.jpg"},</v>
      </c>
    </row>
    <row r="187" spans="2:11" ht="14.4" hidden="1" customHeight="1">
      <c r="B187" s="69">
        <v>190</v>
      </c>
      <c r="C187" s="61" t="s">
        <v>12</v>
      </c>
      <c r="D187" s="62" t="s">
        <v>380</v>
      </c>
      <c r="E187" s="44" t="s">
        <v>90</v>
      </c>
      <c r="F187" s="57">
        <v>620</v>
      </c>
      <c r="G187" s="58">
        <v>36</v>
      </c>
      <c r="H187" s="45">
        <f>F187*G187</f>
        <v>22320</v>
      </c>
      <c r="I187" s="48" t="str">
        <f t="shared" si="4"/>
        <v>햇반 130g.jpg</v>
      </c>
      <c r="J187" s="44"/>
      <c r="K187" s="50" t="str">
        <f t="shared" si="5"/>
        <v>{"ITM_SEQ":"190","TYPE":"식품","TYPE_DTL":"미정","ITM_NM":"햇반 130g","PRICE":"620","UNIT":"36","":"22320","IMG":"햇반 130g.jpg"},</v>
      </c>
    </row>
    <row r="188" spans="2:11" ht="14.4" hidden="1" customHeight="1">
      <c r="B188" s="69">
        <v>191</v>
      </c>
      <c r="C188" s="61" t="s">
        <v>12</v>
      </c>
      <c r="D188" s="62" t="s">
        <v>380</v>
      </c>
      <c r="E188" s="44" t="s">
        <v>357</v>
      </c>
      <c r="F188" s="57">
        <v>3260</v>
      </c>
      <c r="G188" s="58">
        <v>1</v>
      </c>
      <c r="H188" s="45">
        <f>F188*G188</f>
        <v>3260</v>
      </c>
      <c r="I188" s="48" t="str">
        <f t="shared" si="4"/>
        <v>허니머스타드.jpg</v>
      </c>
      <c r="J188" s="44"/>
      <c r="K188" s="50" t="str">
        <f t="shared" si="5"/>
        <v>{"ITM_SEQ":"191","TYPE":"식품","TYPE_DTL":"미정","ITM_NM":"허니머스타드","PRICE":"3260","UNIT":"1","":"3260","IMG":"허니머스타드.jpg"},</v>
      </c>
    </row>
    <row r="189" spans="2:11" ht="14.4" hidden="1" customHeight="1">
      <c r="B189" s="69">
        <v>192</v>
      </c>
      <c r="C189" s="61" t="s">
        <v>12</v>
      </c>
      <c r="D189" s="62" t="s">
        <v>380</v>
      </c>
      <c r="E189" s="44" t="s">
        <v>359</v>
      </c>
      <c r="F189" s="57">
        <v>720</v>
      </c>
      <c r="G189" s="58">
        <v>1</v>
      </c>
      <c r="H189" s="45">
        <f>F189*G189</f>
        <v>720</v>
      </c>
      <c r="I189" s="48" t="str">
        <f t="shared" si="4"/>
        <v>화이트쿠키 빼뺴로.jpg</v>
      </c>
      <c r="J189" s="44"/>
      <c r="K189" s="50" t="str">
        <f t="shared" si="5"/>
        <v>{"ITM_SEQ":"192","TYPE":"식품","TYPE_DTL":"미정","ITM_NM":"화이트쿠키 빼뺴로","PRICE":"720","UNIT":"1","":"720","IMG":"화이트쿠키 빼뺴로.jpg"},</v>
      </c>
    </row>
    <row r="190" spans="2:11" ht="14.4" hidden="1" customHeight="1">
      <c r="B190" s="69">
        <v>193</v>
      </c>
      <c r="C190" s="61" t="s">
        <v>12</v>
      </c>
      <c r="D190" s="62" t="s">
        <v>380</v>
      </c>
      <c r="E190" s="44" t="s">
        <v>360</v>
      </c>
      <c r="F190" s="57">
        <v>1900</v>
      </c>
      <c r="G190" s="58">
        <v>1</v>
      </c>
      <c r="H190" s="45">
        <f>F190*G190</f>
        <v>1900</v>
      </c>
      <c r="I190" s="48" t="str">
        <f t="shared" si="4"/>
        <v>후레쉬베리.jpg</v>
      </c>
      <c r="J190" s="44"/>
      <c r="K190" s="50" t="str">
        <f t="shared" si="5"/>
        <v>{"ITM_SEQ":"193","TYPE":"식품","TYPE_DTL":"미정","ITM_NM":"후레쉬베리","PRICE":"1900","UNIT":"1","":"1900","IMG":"후레쉬베리.jpg"},</v>
      </c>
    </row>
    <row r="191" spans="2:11" ht="14.4" hidden="1" customHeight="1">
      <c r="B191" s="69">
        <v>194</v>
      </c>
      <c r="C191" s="61" t="s">
        <v>6</v>
      </c>
      <c r="D191" s="62" t="s">
        <v>380</v>
      </c>
      <c r="E191" s="44" t="s">
        <v>221</v>
      </c>
      <c r="F191" s="57">
        <v>11830</v>
      </c>
      <c r="G191" s="58">
        <v>1</v>
      </c>
      <c r="H191" s="45">
        <f>F191*G191</f>
        <v>11830</v>
      </c>
      <c r="I191" s="48" t="str">
        <f t="shared" si="4"/>
        <v>(프로블레이드)질레트프로글라이드.jpg</v>
      </c>
      <c r="J191" s="44"/>
      <c r="K191" s="50" t="str">
        <f t="shared" si="5"/>
        <v>{"ITM_SEQ":"194","TYPE":"기타","TYPE_DTL":"미정","ITM_NM":"(프로블레이드)질레트프로글라이드","PRICE":"11830","UNIT":"1","":"11830","IMG":"(프로블레이드)질레트프로글라이드.jpg"},</v>
      </c>
    </row>
    <row r="192" spans="2:11" ht="14.4" hidden="1" customHeight="1">
      <c r="B192" s="69">
        <v>195</v>
      </c>
      <c r="C192" s="61" t="s">
        <v>6</v>
      </c>
      <c r="D192" s="62" t="s">
        <v>380</v>
      </c>
      <c r="E192" s="44" t="s">
        <v>222</v>
      </c>
      <c r="F192" s="57">
        <v>3590</v>
      </c>
      <c r="G192" s="58">
        <v>1</v>
      </c>
      <c r="H192" s="45">
        <f>F192*G192</f>
        <v>3590</v>
      </c>
      <c r="I192" s="48" t="str">
        <f t="shared" si="4"/>
        <v>2080닥터크리닉잇몸치약(3개 묶음).jpg</v>
      </c>
      <c r="J192" s="44"/>
      <c r="K192" s="50" t="str">
        <f t="shared" si="5"/>
        <v>{"ITM_SEQ":"195","TYPE":"기타","TYPE_DTL":"미정","ITM_NM":"2080닥터크리닉잇몸치약(3개 묶음)","PRICE":"3590","UNIT":"1","":"3590","IMG":"2080닥터크리닉잇몸치약(3개 묶음).jpg"},</v>
      </c>
    </row>
    <row r="193" spans="2:11" ht="14.4" hidden="1" customHeight="1">
      <c r="B193" s="69">
        <v>196</v>
      </c>
      <c r="C193" s="61" t="s">
        <v>6</v>
      </c>
      <c r="D193" s="62" t="s">
        <v>380</v>
      </c>
      <c r="E193" s="44" t="s">
        <v>223</v>
      </c>
      <c r="F193" s="57">
        <v>1960</v>
      </c>
      <c r="G193" s="58">
        <v>1</v>
      </c>
      <c r="H193" s="45">
        <f>F193*G193</f>
        <v>1960</v>
      </c>
      <c r="I193" s="48" t="str">
        <f t="shared" si="4"/>
        <v>2080치약.jpg</v>
      </c>
      <c r="J193" s="44"/>
      <c r="K193" s="50" t="str">
        <f t="shared" si="5"/>
        <v>{"ITM_SEQ":"196","TYPE":"기타","TYPE_DTL":"미정","ITM_NM":"2080치약","PRICE":"1960","UNIT":"1","":"1960","IMG":"2080치약.jpg"},</v>
      </c>
    </row>
    <row r="194" spans="2:11" ht="14.4" hidden="1" customHeight="1">
      <c r="B194" s="69">
        <v>197</v>
      </c>
      <c r="C194" s="61" t="s">
        <v>6</v>
      </c>
      <c r="D194" s="62" t="s">
        <v>380</v>
      </c>
      <c r="E194" s="44" t="s">
        <v>225</v>
      </c>
      <c r="F194" s="57">
        <v>9900</v>
      </c>
      <c r="G194" s="58">
        <v>1</v>
      </c>
      <c r="H194" s="45">
        <f>F194*G194</f>
        <v>9900</v>
      </c>
      <c r="I194" s="48" t="str">
        <f t="shared" si="4"/>
        <v>AIR MESH 로카티 GMR904.jpg</v>
      </c>
      <c r="J194" s="44"/>
      <c r="K194" s="50" t="str">
        <f t="shared" si="5"/>
        <v>{"ITM_SEQ":"197","TYPE":"기타","TYPE_DTL":"미정","ITM_NM":"AIR MESH 로카티 GMR904","PRICE":"9900","UNIT":"1","":"9900","IMG":"AIR MESH 로카티 GMR904.jpg"},</v>
      </c>
    </row>
    <row r="195" spans="2:11" ht="14.4" hidden="1" customHeight="1">
      <c r="B195" s="69">
        <v>198</v>
      </c>
      <c r="C195" s="61" t="s">
        <v>6</v>
      </c>
      <c r="D195" s="62" t="s">
        <v>380</v>
      </c>
      <c r="E195" s="44" t="s">
        <v>226</v>
      </c>
      <c r="F195" s="57">
        <v>9900</v>
      </c>
      <c r="G195" s="58">
        <v>1</v>
      </c>
      <c r="H195" s="45">
        <f>F195*G195</f>
        <v>9900</v>
      </c>
      <c r="I195" s="48" t="str">
        <f t="shared" si="4"/>
        <v>ROKA 반팔티 95.jpg</v>
      </c>
      <c r="J195" s="44"/>
      <c r="K195" s="50" t="str">
        <f t="shared" si="5"/>
        <v>{"ITM_SEQ":"198","TYPE":"기타","TYPE_DTL":"미정","ITM_NM":"ROKA 반팔티 95","PRICE":"9900","UNIT":"1","":"9900","IMG":"ROKA 반팔티 95.jpg"},</v>
      </c>
    </row>
    <row r="196" spans="2:11" ht="14.4" hidden="1" customHeight="1">
      <c r="B196" s="69">
        <v>199</v>
      </c>
      <c r="C196" s="61" t="s">
        <v>6</v>
      </c>
      <c r="D196" s="62" t="s">
        <v>380</v>
      </c>
      <c r="E196" s="44" t="s">
        <v>228</v>
      </c>
      <c r="F196" s="57">
        <v>2700</v>
      </c>
      <c r="G196" s="58">
        <v>1</v>
      </c>
      <c r="H196" s="45">
        <f>F196*G196</f>
        <v>2700</v>
      </c>
      <c r="I196" s="48" t="str">
        <f t="shared" si="4"/>
        <v>고농축피죤 써니가든 1.6L.jpg</v>
      </c>
      <c r="J196" s="44"/>
      <c r="K196" s="50" t="str">
        <f t="shared" si="5"/>
        <v>{"ITM_SEQ":"199","TYPE":"기타","TYPE_DTL":"미정","ITM_NM":"고농축피죤 써니가든 1.6L","PRICE":"2700","UNIT":"1","":"2700","IMG":"고농축피죤 써니가든 1.6L.jpg"},</v>
      </c>
    </row>
    <row r="197" spans="2:11" ht="14.4" hidden="1" customHeight="1">
      <c r="B197" s="69">
        <v>200</v>
      </c>
      <c r="C197" s="61" t="s">
        <v>6</v>
      </c>
      <c r="D197" s="62" t="s">
        <v>380</v>
      </c>
      <c r="E197" s="44" t="s">
        <v>229</v>
      </c>
      <c r="F197" s="57">
        <v>4490</v>
      </c>
      <c r="G197" s="58">
        <v>1</v>
      </c>
      <c r="H197" s="45">
        <f>F197*G197</f>
        <v>4490</v>
      </c>
      <c r="I197" s="48" t="str">
        <f t="shared" ref="I197:I231" si="6">_xlfn.CONCAT(E197, ".jpg")</f>
        <v>고농축피죤 플라워페스티벌 2.3L.jpg</v>
      </c>
      <c r="J197" s="44"/>
      <c r="K197" s="50" t="str">
        <f t="shared" si="5"/>
        <v>{"ITM_SEQ":"200","TYPE":"기타","TYPE_DTL":"미정","ITM_NM":"고농축피죤 플라워페스티벌 2.3L","PRICE":"4490","UNIT":"1","":"4490","IMG":"고농축피죤 플라워페스티벌 2.3L.jpg"},</v>
      </c>
    </row>
    <row r="198" spans="2:11" ht="14.4" hidden="1" customHeight="1">
      <c r="B198" s="69">
        <v>201</v>
      </c>
      <c r="C198" s="61" t="s">
        <v>6</v>
      </c>
      <c r="D198" s="62" t="s">
        <v>380</v>
      </c>
      <c r="E198" s="44" t="s">
        <v>231</v>
      </c>
      <c r="F198" s="57">
        <v>1800</v>
      </c>
      <c r="G198" s="58">
        <v>1</v>
      </c>
      <c r="H198" s="45">
        <f>F198*G198</f>
        <v>1800</v>
      </c>
      <c r="I198" s="48" t="str">
        <f t="shared" si="6"/>
        <v>그린후레쉬 치약.jpg</v>
      </c>
      <c r="J198" s="44"/>
      <c r="K198" s="50" t="str">
        <f t="shared" si="5"/>
        <v>{"ITM_SEQ":"201","TYPE":"기타","TYPE_DTL":"미정","ITM_NM":"그린후레쉬 치약","PRICE":"1800","UNIT":"1","":"1800","IMG":"그린후레쉬 치약.jpg"},</v>
      </c>
    </row>
    <row r="199" spans="2:11" ht="14.4" hidden="1" customHeight="1">
      <c r="B199" s="69">
        <v>202</v>
      </c>
      <c r="C199" s="61" t="s">
        <v>6</v>
      </c>
      <c r="D199" s="62" t="s">
        <v>380</v>
      </c>
      <c r="E199" s="44" t="s">
        <v>237</v>
      </c>
      <c r="F199" s="57">
        <v>1300</v>
      </c>
      <c r="G199" s="58">
        <v>5</v>
      </c>
      <c r="H199" s="45">
        <f>F199*G199</f>
        <v>6500</v>
      </c>
      <c r="I199" s="48" t="str">
        <f t="shared" si="6"/>
        <v>뉴사이닝화이트 치약.jpg</v>
      </c>
      <c r="J199" s="44"/>
      <c r="K199" s="50" t="str">
        <f t="shared" si="5"/>
        <v>{"ITM_SEQ":"202","TYPE":"기타","TYPE_DTL":"미정","ITM_NM":"뉴사이닝화이트 치약","PRICE":"1300","UNIT":"5","":"6500","IMG":"뉴사이닝화이트 치약.jpg"},</v>
      </c>
    </row>
    <row r="200" spans="2:11" ht="14.4" hidden="1" customHeight="1">
      <c r="B200" s="69">
        <v>203</v>
      </c>
      <c r="C200" s="61" t="s">
        <v>6</v>
      </c>
      <c r="D200" s="62" t="s">
        <v>380</v>
      </c>
      <c r="E200" s="44" t="s">
        <v>240</v>
      </c>
      <c r="F200" s="57">
        <v>2400</v>
      </c>
      <c r="G200" s="58">
        <v>1</v>
      </c>
      <c r="H200" s="45">
        <f>F200*G200</f>
        <v>2400</v>
      </c>
      <c r="I200" s="48" t="str">
        <f t="shared" si="6"/>
        <v>데일리아이마스크눈찜질팩.jpg</v>
      </c>
      <c r="J200" s="44"/>
      <c r="K200" s="50" t="str">
        <f t="shared" si="5"/>
        <v>{"ITM_SEQ":"203","TYPE":"기타","TYPE_DTL":"미정","ITM_NM":"데일리아이마스크눈찜질팩","PRICE":"2400","UNIT":"1","":"2400","IMG":"데일리아이마스크눈찜질팩.jpg"},</v>
      </c>
    </row>
    <row r="201" spans="2:11" ht="14.4" hidden="1" customHeight="1">
      <c r="B201" s="69">
        <v>204</v>
      </c>
      <c r="C201" s="61" t="s">
        <v>6</v>
      </c>
      <c r="D201" s="62" t="s">
        <v>380</v>
      </c>
      <c r="E201" s="44" t="s">
        <v>246</v>
      </c>
      <c r="F201" s="57">
        <v>6860</v>
      </c>
      <c r="G201" s="58">
        <v>1</v>
      </c>
      <c r="H201" s="45">
        <f>F201*G201</f>
        <v>6860</v>
      </c>
      <c r="I201" s="48" t="str">
        <f t="shared" si="6"/>
        <v>라보에이치 탈모증상완화샴푸.jpg</v>
      </c>
      <c r="J201" s="44"/>
      <c r="K201" s="50" t="str">
        <f t="shared" si="5"/>
        <v>{"ITM_SEQ":"204","TYPE":"기타","TYPE_DTL":"미정","ITM_NM":"라보에이치 탈모증상완화샴푸","PRICE":"6860","UNIT":"1","":"6860","IMG":"라보에이치 탈모증상완화샴푸.jpg"},</v>
      </c>
    </row>
    <row r="202" spans="2:11" ht="14.4" hidden="1" customHeight="1">
      <c r="B202" s="69">
        <v>205</v>
      </c>
      <c r="C202" s="61" t="s">
        <v>6</v>
      </c>
      <c r="D202" s="62" t="s">
        <v>380</v>
      </c>
      <c r="E202" s="44" t="s">
        <v>248</v>
      </c>
      <c r="F202" s="57">
        <v>4020</v>
      </c>
      <c r="G202" s="58">
        <v>1</v>
      </c>
      <c r="H202" s="45">
        <f>F202*G202</f>
        <v>4020</v>
      </c>
      <c r="I202" s="48" t="str">
        <f t="shared" si="6"/>
        <v>려 흑운모근강화볼륨샴푸.jpg</v>
      </c>
      <c r="J202" s="44"/>
      <c r="K202" s="50" t="str">
        <f t="shared" si="5"/>
        <v>{"ITM_SEQ":"205","TYPE":"기타","TYPE_DTL":"미정","ITM_NM":"려 흑운모근강화볼륨샴푸","PRICE":"4020","UNIT":"1","":"4020","IMG":"려 흑운모근강화볼륨샴푸.jpg"},</v>
      </c>
    </row>
    <row r="203" spans="2:11" ht="14.4" hidden="1" customHeight="1">
      <c r="B203" s="69">
        <v>206</v>
      </c>
      <c r="C203" s="61" t="s">
        <v>6</v>
      </c>
      <c r="D203" s="62" t="s">
        <v>380</v>
      </c>
      <c r="E203" s="44" t="s">
        <v>250</v>
      </c>
      <c r="F203" s="57">
        <v>2300</v>
      </c>
      <c r="G203" s="58">
        <v>1</v>
      </c>
      <c r="H203" s="45">
        <f>F203*G203</f>
        <v>2300</v>
      </c>
      <c r="I203" s="48" t="str">
        <f t="shared" si="6"/>
        <v>마데카메디패치스팟패피 51매.jpg</v>
      </c>
      <c r="J203" s="44"/>
      <c r="K203" s="50" t="str">
        <f t="shared" si="5"/>
        <v>{"ITM_SEQ":"206","TYPE":"기타","TYPE_DTL":"미정","ITM_NM":"마데카메디패치스팟패피 51매","PRICE":"2300","UNIT":"1","":"2300","IMG":"마데카메디패치스팟패피 51매.jpg"},</v>
      </c>
    </row>
    <row r="204" spans="2:11" ht="14.4" hidden="1" customHeight="1">
      <c r="B204" s="69">
        <v>207</v>
      </c>
      <c r="C204" s="61" t="s">
        <v>6</v>
      </c>
      <c r="D204" s="62" t="s">
        <v>380</v>
      </c>
      <c r="E204" s="44" t="s">
        <v>252</v>
      </c>
      <c r="F204" s="57">
        <v>2370</v>
      </c>
      <c r="G204" s="58">
        <v>1</v>
      </c>
      <c r="H204" s="45">
        <f>F204*G204</f>
        <v>2370</v>
      </c>
      <c r="I204" s="48" t="str">
        <f t="shared" si="6"/>
        <v>메디안 미백과학 치약 플럼민트향.jpg</v>
      </c>
      <c r="J204" s="44"/>
      <c r="K204" s="50" t="str">
        <f t="shared" si="5"/>
        <v>{"ITM_SEQ":"207","TYPE":"기타","TYPE_DTL":"미정","ITM_NM":"메디안 미백과학 치약 플럼민트향","PRICE":"2370","UNIT":"1","":"2370","IMG":"메디안 미백과학 치약 플럼민트향.jpg"},</v>
      </c>
    </row>
    <row r="205" spans="2:11" ht="14.4" hidden="1" customHeight="1">
      <c r="B205" s="69">
        <v>208</v>
      </c>
      <c r="C205" s="61" t="s">
        <v>6</v>
      </c>
      <c r="D205" s="62" t="s">
        <v>380</v>
      </c>
      <c r="E205" s="44" t="s">
        <v>253</v>
      </c>
      <c r="F205" s="57">
        <v>2230</v>
      </c>
      <c r="G205" s="58">
        <v>1</v>
      </c>
      <c r="H205" s="45">
        <f>F205*G205</f>
        <v>2230</v>
      </c>
      <c r="I205" s="48" t="str">
        <f t="shared" si="6"/>
        <v>메디안덴탈IQ미백케어치약.jpg</v>
      </c>
      <c r="J205" s="44"/>
      <c r="K205" s="50" t="str">
        <f t="shared" si="5"/>
        <v>{"ITM_SEQ":"208","TYPE":"기타","TYPE_DTL":"미정","ITM_NM":"메디안덴탈IQ미백케어치약","PRICE":"2230","UNIT":"1","":"2230","IMG":"메디안덴탈IQ미백케어치약.jpg"},</v>
      </c>
    </row>
    <row r="206" spans="2:11" ht="14.4" hidden="1" customHeight="1">
      <c r="B206" s="69">
        <v>209</v>
      </c>
      <c r="C206" s="61" t="s">
        <v>6</v>
      </c>
      <c r="D206" s="62" t="s">
        <v>380</v>
      </c>
      <c r="E206" s="44" t="s">
        <v>257</v>
      </c>
      <c r="F206" s="57">
        <v>3500</v>
      </c>
      <c r="G206" s="58">
        <v>1</v>
      </c>
      <c r="H206" s="45">
        <f>F206*G206</f>
        <v>3500</v>
      </c>
      <c r="I206" s="48" t="str">
        <f t="shared" si="6"/>
        <v>면도크림.jpg</v>
      </c>
      <c r="J206" s="44"/>
      <c r="K206" s="50" t="str">
        <f t="shared" si="5"/>
        <v>{"ITM_SEQ":"209","TYPE":"기타","TYPE_DTL":"미정","ITM_NM":"면도크림","PRICE":"3500","UNIT":"1","":"3500","IMG":"면도크림.jpg"},</v>
      </c>
    </row>
    <row r="207" spans="2:11" ht="14.4" hidden="1" customHeight="1">
      <c r="B207" s="69">
        <v>210</v>
      </c>
      <c r="C207" s="61" t="s">
        <v>6</v>
      </c>
      <c r="D207" s="62" t="s">
        <v>380</v>
      </c>
      <c r="E207" s="44" t="s">
        <v>260</v>
      </c>
      <c r="F207" s="57">
        <v>1520</v>
      </c>
      <c r="G207" s="58">
        <v>1</v>
      </c>
      <c r="H207" s="45">
        <f>F207*G207</f>
        <v>1520</v>
      </c>
      <c r="I207" s="48" t="str">
        <f t="shared" si="6"/>
        <v>미샤 오일컨트롤페이퍼.jpg</v>
      </c>
      <c r="J207" s="44"/>
      <c r="K207" s="50" t="str">
        <f t="shared" si="5"/>
        <v>{"ITM_SEQ":"210","TYPE":"기타","TYPE_DTL":"미정","ITM_NM":"미샤 오일컨트롤페이퍼","PRICE":"1520","UNIT":"1","":"1520","IMG":"미샤 오일컨트롤페이퍼.jpg"},</v>
      </c>
    </row>
    <row r="208" spans="2:11" ht="14.4" hidden="1" customHeight="1">
      <c r="B208" s="69">
        <v>211</v>
      </c>
      <c r="C208" s="61" t="s">
        <v>6</v>
      </c>
      <c r="D208" s="62" t="s">
        <v>380</v>
      </c>
      <c r="E208" s="44" t="s">
        <v>267</v>
      </c>
      <c r="F208" s="57">
        <v>12980</v>
      </c>
      <c r="G208" s="58">
        <v>1</v>
      </c>
      <c r="H208" s="45">
        <f>F208*G208</f>
        <v>12980</v>
      </c>
      <c r="I208" s="48" t="str">
        <f t="shared" si="6"/>
        <v>뱅네프 생토노레 사봉파퓨메 177(비누).jpg</v>
      </c>
      <c r="J208" s="44"/>
      <c r="K208" s="50" t="str">
        <f t="shared" si="5"/>
        <v>{"ITM_SEQ":"211","TYPE":"기타","TYPE_DTL":"미정","ITM_NM":"뱅네프 생토노레 사봉파퓨메 177(비누)","PRICE":"12980","UNIT":"1","":"12980","IMG":"뱅네프 생토노레 사봉파퓨메 177(비누).jpg"},</v>
      </c>
    </row>
    <row r="209" spans="2:11" ht="14.4" hidden="1" customHeight="1">
      <c r="B209" s="69">
        <v>212</v>
      </c>
      <c r="C209" s="61" t="s">
        <v>6</v>
      </c>
      <c r="D209" s="62" t="s">
        <v>380</v>
      </c>
      <c r="E209" s="44" t="s">
        <v>268</v>
      </c>
      <c r="F209" s="57">
        <v>1350</v>
      </c>
      <c r="G209" s="58">
        <v>1</v>
      </c>
      <c r="H209" s="45">
        <f>F209*G209</f>
        <v>1350</v>
      </c>
      <c r="I209" s="48" t="str">
        <f t="shared" si="6"/>
        <v>벡셀 알카라인건전지 aaa 4입.jpg</v>
      </c>
      <c r="J209" s="44"/>
      <c r="K209" s="50" t="str">
        <f t="shared" si="5"/>
        <v>{"ITM_SEQ":"212","TYPE":"기타","TYPE_DTL":"미정","ITM_NM":"벡셀 알카라인건전지 aaa 4입","PRICE":"1350","UNIT":"1","":"1350","IMG":"벡셀 알카라인건전지 aaa 4입.jpg"},</v>
      </c>
    </row>
    <row r="210" spans="2:11" ht="14.4" hidden="1" customHeight="1">
      <c r="B210" s="69">
        <v>213</v>
      </c>
      <c r="C210" s="61" t="s">
        <v>6</v>
      </c>
      <c r="D210" s="62" t="s">
        <v>380</v>
      </c>
      <c r="E210" s="44" t="s">
        <v>269</v>
      </c>
      <c r="F210" s="57">
        <v>770</v>
      </c>
      <c r="G210" s="58">
        <v>1</v>
      </c>
      <c r="H210" s="45">
        <f>F210*G210</f>
        <v>770</v>
      </c>
      <c r="I210" s="48" t="str">
        <f t="shared" si="6"/>
        <v>벡셀알카라인건전지 aa 2입.jpg</v>
      </c>
      <c r="J210" s="44"/>
      <c r="K210" s="50" t="str">
        <f t="shared" si="5"/>
        <v>{"ITM_SEQ":"213","TYPE":"기타","TYPE_DTL":"미정","ITM_NM":"벡셀알카라인건전지 aa 2입","PRICE":"770","UNIT":"1","":"770","IMG":"벡셀알카라인건전지 aa 2입.jpg"},</v>
      </c>
    </row>
    <row r="211" spans="2:11" ht="14.4" hidden="1" customHeight="1">
      <c r="B211" s="69">
        <v>214</v>
      </c>
      <c r="C211" s="61" t="s">
        <v>6</v>
      </c>
      <c r="D211" s="62" t="s">
        <v>380</v>
      </c>
      <c r="E211" s="44" t="s">
        <v>272</v>
      </c>
      <c r="F211" s="57">
        <v>11450</v>
      </c>
      <c r="G211" s="58">
        <v>1</v>
      </c>
      <c r="H211" s="45">
        <f>F211*G211</f>
        <v>11450</v>
      </c>
      <c r="I211" s="48" t="str">
        <f t="shared" si="6"/>
        <v>불스원 그라스 디퓨저 코튼향(차량방향제).jpg</v>
      </c>
      <c r="J211" s="44"/>
      <c r="K211" s="50" t="str">
        <f t="shared" si="5"/>
        <v>{"ITM_SEQ":"214","TYPE":"기타","TYPE_DTL":"미정","ITM_NM":"불스원 그라스 디퓨저 코튼향(차량방향제)","PRICE":"11450","UNIT":"1","":"11450","IMG":"불스원 그라스 디퓨저 코튼향(차량방향제).jpg"},</v>
      </c>
    </row>
    <row r="212" spans="2:11" ht="14.4" hidden="1" customHeight="1">
      <c r="B212" s="69">
        <v>215</v>
      </c>
      <c r="C212" s="61" t="s">
        <v>6</v>
      </c>
      <c r="D212" s="62" t="s">
        <v>380</v>
      </c>
      <c r="E212" s="44" t="s">
        <v>273</v>
      </c>
      <c r="F212" s="57">
        <v>11900</v>
      </c>
      <c r="G212" s="58">
        <v>1</v>
      </c>
      <c r="H212" s="45">
        <f>F212*G212</f>
        <v>11900</v>
      </c>
      <c r="I212" s="48" t="str">
        <f t="shared" si="6"/>
        <v>뷰카 클래식 구취케어 치약 아쿠아.jpg</v>
      </c>
      <c r="J212" s="44"/>
      <c r="K212" s="50" t="str">
        <f t="shared" si="5"/>
        <v>{"ITM_SEQ":"215","TYPE":"기타","TYPE_DTL":"미정","ITM_NM":"뷰카 클래식 구취케어 치약 아쿠아","PRICE":"11900","UNIT":"1","":"11900","IMG":"뷰카 클래식 구취케어 치약 아쿠아.jpg"},</v>
      </c>
    </row>
    <row r="213" spans="2:11" ht="14.4" hidden="1" customHeight="1">
      <c r="B213" s="69">
        <v>216</v>
      </c>
      <c r="C213" s="61" t="s">
        <v>6</v>
      </c>
      <c r="D213" s="62" t="s">
        <v>380</v>
      </c>
      <c r="E213" s="44" t="s">
        <v>278</v>
      </c>
      <c r="F213" s="57">
        <v>5070</v>
      </c>
      <c r="G213" s="58">
        <v>1</v>
      </c>
      <c r="H213" s="45">
        <f>F213*G213</f>
        <v>5070</v>
      </c>
      <c r="I213" s="48" t="str">
        <f t="shared" si="6"/>
        <v>비트 트리플액션 2.8L(일반).jpg</v>
      </c>
      <c r="J213" s="44"/>
      <c r="K213" s="50" t="str">
        <f t="shared" si="5"/>
        <v>{"ITM_SEQ":"216","TYPE":"기타","TYPE_DTL":"미정","ITM_NM":"비트 트리플액션 2.8L(일반)","PRICE":"5070","UNIT":"1","":"5070","IMG":"비트 트리플액션 2.8L(일반).jpg"},</v>
      </c>
    </row>
    <row r="214" spans="2:11" ht="14.4" hidden="1" customHeight="1">
      <c r="B214" s="69">
        <v>217</v>
      </c>
      <c r="C214" s="61" t="s">
        <v>6</v>
      </c>
      <c r="D214" s="62" t="s">
        <v>380</v>
      </c>
      <c r="E214" s="44" t="s">
        <v>282</v>
      </c>
      <c r="F214" s="57">
        <v>2250</v>
      </c>
      <c r="G214" s="58">
        <v>1</v>
      </c>
      <c r="H214" s="45">
        <f>F214*G214</f>
        <v>2250</v>
      </c>
      <c r="I214" s="48" t="str">
        <f t="shared" si="6"/>
        <v>생활도감 혀클리너(화이트).jpg</v>
      </c>
      <c r="J214" s="44"/>
      <c r="K214" s="50" t="str">
        <f t="shared" si="5"/>
        <v>{"ITM_SEQ":"217","TYPE":"기타","TYPE_DTL":"미정","ITM_NM":"생활도감 혀클리너(화이트)","PRICE":"2250","UNIT":"1","":"2250","IMG":"생활도감 혀클리너(화이트).jpg"},</v>
      </c>
    </row>
    <row r="215" spans="2:11" ht="14.4" hidden="1" customHeight="1">
      <c r="B215" s="69">
        <v>218</v>
      </c>
      <c r="C215" s="61" t="s">
        <v>6</v>
      </c>
      <c r="D215" s="62" t="s">
        <v>380</v>
      </c>
      <c r="E215" s="44" t="s">
        <v>287</v>
      </c>
      <c r="F215" s="57">
        <v>1300</v>
      </c>
      <c r="G215" s="58">
        <v>1</v>
      </c>
      <c r="H215" s="45">
        <f>F215*G215</f>
        <v>1300</v>
      </c>
      <c r="I215" s="48" t="str">
        <f t="shared" si="6"/>
        <v>셀시어스 스파클링 오렌지맛.jpg</v>
      </c>
      <c r="J215" s="44"/>
      <c r="K215" s="50" t="str">
        <f t="shared" si="5"/>
        <v>{"ITM_SEQ":"218","TYPE":"기타","TYPE_DTL":"미정","ITM_NM":"셀시어스 스파클링 오렌지맛","PRICE":"1300","UNIT":"1","":"1300","IMG":"셀시어스 스파클링 오렌지맛.jpg"},</v>
      </c>
    </row>
    <row r="216" spans="2:11" ht="14.4" hidden="1" customHeight="1">
      <c r="B216" s="69">
        <v>219</v>
      </c>
      <c r="C216" s="61" t="s">
        <v>6</v>
      </c>
      <c r="D216" s="62" t="s">
        <v>380</v>
      </c>
      <c r="E216" s="44" t="s">
        <v>291</v>
      </c>
      <c r="F216" s="57">
        <v>6570</v>
      </c>
      <c r="G216" s="58">
        <v>1</v>
      </c>
      <c r="H216" s="45">
        <f>F216*G216</f>
        <v>6570</v>
      </c>
      <c r="I216" s="48" t="str">
        <f t="shared" si="6"/>
        <v>스킨유 이노센트 컴포티우디 샤워젤.jpg</v>
      </c>
      <c r="J216" s="44"/>
      <c r="K216" s="50" t="str">
        <f t="shared" si="5"/>
        <v>{"ITM_SEQ":"219","TYPE":"기타","TYPE_DTL":"미정","ITM_NM":"스킨유 이노센트 컴포티우디 샤워젤","PRICE":"6570","UNIT":"1","":"6570","IMG":"스킨유 이노센트 컴포티우디 샤워젤.jpg"},</v>
      </c>
    </row>
    <row r="217" spans="2:11" ht="14.4" hidden="1" customHeight="1">
      <c r="B217" s="69">
        <v>220</v>
      </c>
      <c r="C217" s="61" t="s">
        <v>6</v>
      </c>
      <c r="D217" s="62" t="s">
        <v>380</v>
      </c>
      <c r="E217" s="44" t="s">
        <v>292</v>
      </c>
      <c r="F217" s="57">
        <v>2400</v>
      </c>
      <c r="G217" s="58">
        <v>1</v>
      </c>
      <c r="H217" s="45">
        <f>F217*G217</f>
        <v>2400</v>
      </c>
      <c r="I217" s="48" t="str">
        <f t="shared" si="6"/>
        <v>스팀베이스 데일리 아이마스크 라벤더.jpg</v>
      </c>
      <c r="J217" s="44"/>
      <c r="K217" s="50" t="str">
        <f t="shared" si="5"/>
        <v>{"ITM_SEQ":"220","TYPE":"기타","TYPE_DTL":"미정","ITM_NM":"스팀베이스 데일리 아이마스크 라벤더","PRICE":"2400","UNIT":"1","":"2400","IMG":"스팀베이스 데일리 아이마스크 라벤더.jpg"},</v>
      </c>
    </row>
    <row r="218" spans="2:11" ht="14.4" hidden="1" customHeight="1">
      <c r="B218" s="69">
        <v>221</v>
      </c>
      <c r="C218" s="61" t="s">
        <v>12</v>
      </c>
      <c r="D218" s="62" t="s">
        <v>380</v>
      </c>
      <c r="E218" s="44" t="s">
        <v>305</v>
      </c>
      <c r="F218" s="57">
        <v>4140</v>
      </c>
      <c r="G218" s="58">
        <v>1</v>
      </c>
      <c r="H218" s="45">
        <f>F218*G218</f>
        <v>4140</v>
      </c>
      <c r="I218" s="48" t="str">
        <f t="shared" si="6"/>
        <v>아워티 핑크리치 캐모마일티 8p.jpg</v>
      </c>
      <c r="J218" s="44"/>
      <c r="K218" s="50" t="str">
        <f t="shared" si="5"/>
        <v>{"ITM_SEQ":"221","TYPE":"식품","TYPE_DTL":"미정","ITM_NM":"아워티 핑크리치 캐모마일티 8p","PRICE":"4140","UNIT":"1","":"4140","IMG":"아워티 핑크리치 캐모마일티 8p.jpg"},</v>
      </c>
    </row>
    <row r="219" spans="2:11" ht="14.4" hidden="1" customHeight="1">
      <c r="B219" s="69">
        <v>222</v>
      </c>
      <c r="C219" s="61" t="s">
        <v>6</v>
      </c>
      <c r="D219" s="62" t="s">
        <v>380</v>
      </c>
      <c r="E219" s="44" t="s">
        <v>308</v>
      </c>
      <c r="F219" s="57">
        <v>2690</v>
      </c>
      <c r="G219" s="58">
        <v>1</v>
      </c>
      <c r="H219" s="45">
        <f>F219*G219</f>
        <v>2690</v>
      </c>
      <c r="I219" s="48" t="str">
        <f t="shared" si="6"/>
        <v>액츠프리미엄젤 프레쉬.jpg</v>
      </c>
      <c r="J219" s="44"/>
      <c r="K219" s="50" t="str">
        <f t="shared" si="5"/>
        <v>{"ITM_SEQ":"222","TYPE":"기타","TYPE_DTL":"미정","ITM_NM":"액츠프리미엄젤 프레쉬","PRICE":"2690","UNIT":"1","":"2690","IMG":"액츠프리미엄젤 프레쉬.jpg"},</v>
      </c>
    </row>
    <row r="220" spans="2:11" ht="14.4" hidden="1" customHeight="1">
      <c r="B220" s="69">
        <v>223</v>
      </c>
      <c r="C220" s="61" t="s">
        <v>6</v>
      </c>
      <c r="D220" s="62" t="s">
        <v>380</v>
      </c>
      <c r="E220" s="44" t="s">
        <v>310</v>
      </c>
      <c r="F220" s="57">
        <v>4650</v>
      </c>
      <c r="G220" s="58">
        <v>1</v>
      </c>
      <c r="H220" s="45">
        <f>F220*G220</f>
        <v>4650</v>
      </c>
      <c r="I220" s="48" t="str">
        <f t="shared" si="6"/>
        <v>에코버 울세탁세제 허니듀.jpg</v>
      </c>
      <c r="J220" s="44"/>
      <c r="K220" s="50" t="str">
        <f t="shared" si="5"/>
        <v>{"ITM_SEQ":"223","TYPE":"기타","TYPE_DTL":"미정","ITM_NM":"에코버 울세탁세제 허니듀","PRICE":"4650","UNIT":"1","":"4650","IMG":"에코버 울세탁세제 허니듀.jpg"},</v>
      </c>
    </row>
    <row r="221" spans="2:11" ht="14.4" hidden="1" customHeight="1">
      <c r="B221" s="69">
        <v>224</v>
      </c>
      <c r="C221" s="61" t="s">
        <v>6</v>
      </c>
      <c r="D221" s="62" t="s">
        <v>380</v>
      </c>
      <c r="E221" s="44" t="s">
        <v>371</v>
      </c>
      <c r="F221" s="57">
        <v>1300</v>
      </c>
      <c r="G221" s="58">
        <v>1</v>
      </c>
      <c r="H221" s="45">
        <f>F221*G221</f>
        <v>1300</v>
      </c>
      <c r="I221" s="48" t="str">
        <f t="shared" si="6"/>
        <v>엘지생활건강 히말라야 핑크솔트 담은 펌핑 치약 아이스 카밍 민트 285g.jpg</v>
      </c>
      <c r="J221" s="44"/>
      <c r="K221" s="50" t="str">
        <f t="shared" si="5"/>
        <v>{"ITM_SEQ":"224","TYPE":"기타","TYPE_DTL":"미정","ITM_NM":"엘지생활건강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222" spans="2:11" ht="14.4" hidden="1" customHeight="1">
      <c r="B222" s="69">
        <v>225</v>
      </c>
      <c r="C222" s="61" t="s">
        <v>6</v>
      </c>
      <c r="D222" s="62" t="s">
        <v>380</v>
      </c>
      <c r="E222" s="44" t="s">
        <v>312</v>
      </c>
      <c r="F222" s="57">
        <v>510</v>
      </c>
      <c r="G222" s="58">
        <v>10</v>
      </c>
      <c r="H222" s="45">
        <f>F222*G222</f>
        <v>5100</v>
      </c>
      <c r="I222" s="48" t="str">
        <f t="shared" si="6"/>
        <v>왕고래밥볶음양념맛.jpg</v>
      </c>
      <c r="J222" s="44"/>
      <c r="K222" s="50" t="str">
        <f t="shared" si="5"/>
        <v>{"ITM_SEQ":"225","TYPE":"기타","TYPE_DTL":"미정","ITM_NM":"왕고래밥볶음양념맛","PRICE":"510","UNIT":"10","":"5100","IMG":"왕고래밥볶음양념맛.jpg"},</v>
      </c>
    </row>
    <row r="223" spans="2:11" ht="14.4" hidden="1" customHeight="1">
      <c r="B223" s="69">
        <v>226</v>
      </c>
      <c r="C223" s="61" t="s">
        <v>6</v>
      </c>
      <c r="D223" s="62" t="s">
        <v>380</v>
      </c>
      <c r="E223" s="44" t="s">
        <v>331</v>
      </c>
      <c r="F223" s="57">
        <v>3450</v>
      </c>
      <c r="G223" s="58">
        <v>1</v>
      </c>
      <c r="H223" s="45">
        <f>F223*G223</f>
        <v>3450</v>
      </c>
      <c r="I223" s="48" t="str">
        <f t="shared" si="6"/>
        <v>케라시스 러블리앤로맨틱 퍼퓸샴푸.jpg</v>
      </c>
      <c r="J223" s="44"/>
      <c r="K223" s="50" t="str">
        <f t="shared" si="5"/>
        <v>{"ITM_SEQ":"226","TYPE":"기타","TYPE_DTL":"미정","ITM_NM":"케라시스 러블리앤로맨틱 퍼퓸샴푸","PRICE":"3450","UNIT":"1","":"3450","IMG":"케라시스 러블리앤로맨틱 퍼퓸샴푸.jpg"},</v>
      </c>
    </row>
    <row r="224" spans="2:11" ht="14.4" hidden="1" customHeight="1">
      <c r="B224" s="69">
        <v>227</v>
      </c>
      <c r="C224" s="61" t="s">
        <v>6</v>
      </c>
      <c r="D224" s="62" t="s">
        <v>380</v>
      </c>
      <c r="E224" s="44" t="s">
        <v>332</v>
      </c>
      <c r="F224" s="57">
        <v>14500</v>
      </c>
      <c r="G224" s="58">
        <v>1</v>
      </c>
      <c r="H224" s="45">
        <f>F224*G224</f>
        <v>14500</v>
      </c>
      <c r="I224" s="48" t="str">
        <f t="shared" si="6"/>
        <v>코오롱 런닝.jpg</v>
      </c>
      <c r="J224" s="44"/>
      <c r="K224" s="50" t="str">
        <f t="shared" ref="K224:K231" si="7">_xlfn.CONCAT("{""",$B$3,""":""",B224,""",""",$C$3,""":""",C224,""",""",$D$3,""":""",D224,""",""",$E$3,""":""",E224,""",""",$F$3,""":""",F224,""",""",$G$3,""":""",G224,""",""",$H$3,""":""",H224,""",""",$I$3,""":""",I224,"""},")</f>
        <v>{"ITM_SEQ":"227","TYPE":"기타","TYPE_DTL":"미정","ITM_NM":"코오롱 런닝","PRICE":"14500","UNIT":"1","":"14500","IMG":"코오롱 런닝.jpg"},</v>
      </c>
    </row>
    <row r="225" spans="2:11" ht="14.4" hidden="1" customHeight="1">
      <c r="B225" s="69">
        <v>228</v>
      </c>
      <c r="C225" s="61" t="s">
        <v>6</v>
      </c>
      <c r="D225" s="62" t="s">
        <v>380</v>
      </c>
      <c r="E225" s="44" t="s">
        <v>333</v>
      </c>
      <c r="F225" s="57">
        <v>12560</v>
      </c>
      <c r="G225" s="58">
        <v>1</v>
      </c>
      <c r="H225" s="45">
        <f>F225*G225</f>
        <v>12560</v>
      </c>
      <c r="I225" s="48" t="str">
        <f t="shared" si="6"/>
        <v>코오롱 스포츠 반팔 95.jpg</v>
      </c>
      <c r="J225" s="44"/>
      <c r="K225" s="50" t="str">
        <f t="shared" si="7"/>
        <v>{"ITM_SEQ":"228","TYPE":"기타","TYPE_DTL":"미정","ITM_NM":"코오롱 스포츠 반팔 95","PRICE":"12560","UNIT":"1","":"12560","IMG":"코오롱 스포츠 반팔 95.jpg"},</v>
      </c>
    </row>
    <row r="226" spans="2:11" ht="14.4" hidden="1" customHeight="1">
      <c r="B226" s="69">
        <v>229</v>
      </c>
      <c r="C226" s="61" t="s">
        <v>6</v>
      </c>
      <c r="D226" s="62" t="s">
        <v>380</v>
      </c>
      <c r="E226" s="44" t="s">
        <v>338</v>
      </c>
      <c r="F226" s="57">
        <v>4480</v>
      </c>
      <c r="G226" s="58">
        <v>1</v>
      </c>
      <c r="H226" s="45">
        <f>F226*G226</f>
        <v>4480</v>
      </c>
      <c r="I226" s="48" t="str">
        <f t="shared" si="6"/>
        <v>쿨링두피영양제.jpg</v>
      </c>
      <c r="J226" s="44"/>
      <c r="K226" s="50" t="str">
        <f t="shared" si="7"/>
        <v>{"ITM_SEQ":"229","TYPE":"기타","TYPE_DTL":"미정","ITM_NM":"쿨링두피영양제","PRICE":"4480","UNIT":"1","":"4480","IMG":"쿨링두피영양제.jpg"},</v>
      </c>
    </row>
    <row r="227" spans="2:11" ht="14.4" hidden="1" customHeight="1">
      <c r="B227" s="69">
        <v>230</v>
      </c>
      <c r="C227" s="61" t="s">
        <v>6</v>
      </c>
      <c r="D227" s="62" t="s">
        <v>380</v>
      </c>
      <c r="E227" s="44" t="s">
        <v>347</v>
      </c>
      <c r="F227" s="57">
        <v>8900</v>
      </c>
      <c r="G227" s="58">
        <v>1</v>
      </c>
      <c r="H227" s="45">
        <f>F227*G227</f>
        <v>8900</v>
      </c>
      <c r="I227" s="48" t="str">
        <f t="shared" si="6"/>
        <v>테크 특유취 제거 2.7L(일반용).jpg</v>
      </c>
      <c r="J227" s="44"/>
      <c r="K227" s="50" t="str">
        <f t="shared" si="7"/>
        <v>{"ITM_SEQ":"230","TYPE":"기타","TYPE_DTL":"미정","ITM_NM":"테크 특유취 제거 2.7L(일반용)","PRICE":"8900","UNIT":"1","":"8900","IMG":"테크 특유취 제거 2.7L(일반용).jpg"},</v>
      </c>
    </row>
    <row r="228" spans="2:11" ht="14.4" hidden="1" customHeight="1">
      <c r="B228" s="69">
        <v>231</v>
      </c>
      <c r="C228" s="61" t="s">
        <v>6</v>
      </c>
      <c r="D228" s="62" t="s">
        <v>380</v>
      </c>
      <c r="E228" s="44" t="s">
        <v>349</v>
      </c>
      <c r="F228" s="57">
        <v>4480</v>
      </c>
      <c r="G228" s="58">
        <v>1</v>
      </c>
      <c r="H228" s="45">
        <f>F228*G228</f>
        <v>4480</v>
      </c>
      <c r="I228" s="48" t="str">
        <f t="shared" si="6"/>
        <v>티트리 퓨리파잉 토닉 100ml.jpg</v>
      </c>
      <c r="J228" s="44"/>
      <c r="K228" s="50" t="str">
        <f t="shared" si="7"/>
        <v>{"ITM_SEQ":"231","TYPE":"기타","TYPE_DTL":"미정","ITM_NM":"티트리 퓨리파잉 토닉 100ml","PRICE":"4480","UNIT":"1","":"4480","IMG":"티트리 퓨리파잉 토닉 100ml.jpg"},</v>
      </c>
    </row>
    <row r="229" spans="2:11" ht="14.4" hidden="1" customHeight="1">
      <c r="B229" s="69">
        <v>232</v>
      </c>
      <c r="C229" s="61" t="s">
        <v>6</v>
      </c>
      <c r="D229" s="62" t="s">
        <v>380</v>
      </c>
      <c r="E229" s="44" t="s">
        <v>28</v>
      </c>
      <c r="F229" s="57">
        <v>9240</v>
      </c>
      <c r="G229" s="58">
        <v>1</v>
      </c>
      <c r="H229" s="45">
        <f>F229*G229</f>
        <v>9240</v>
      </c>
      <c r="I229" s="48" t="str">
        <f t="shared" si="6"/>
        <v>하이뮨 프로틴 밸런스(가루).jpg</v>
      </c>
      <c r="J229" s="44"/>
      <c r="K229" s="50" t="str">
        <f t="shared" si="7"/>
        <v>{"ITM_SEQ":"232","TYPE":"기타","TYPE_DTL":"미정","ITM_NM":"하이뮨 프로틴 밸런스(가루)","PRICE":"9240","UNIT":"1","":"9240","IMG":"하이뮨 프로틴 밸런스(가루).jpg"},</v>
      </c>
    </row>
    <row r="230" spans="2:11" ht="14.4" hidden="1" customHeight="1">
      <c r="B230" s="69">
        <v>233</v>
      </c>
      <c r="C230" s="61" t="s">
        <v>6</v>
      </c>
      <c r="D230" s="62" t="s">
        <v>380</v>
      </c>
      <c r="E230" s="44" t="s">
        <v>358</v>
      </c>
      <c r="F230" s="57">
        <v>7800</v>
      </c>
      <c r="G230" s="58">
        <v>1</v>
      </c>
      <c r="H230" s="45">
        <f>F230*G230</f>
        <v>7800</v>
      </c>
      <c r="I230" s="48" t="str">
        <f t="shared" si="6"/>
        <v>헤드스파7 샴트리샴푸.jpg</v>
      </c>
      <c r="J230" s="44"/>
      <c r="K230" s="50" t="str">
        <f t="shared" si="7"/>
        <v>{"ITM_SEQ":"233","TYPE":"기타","TYPE_DTL":"미정","ITM_NM":"헤드스파7 샴트리샴푸","PRICE":"7800","UNIT":"1","":"7800","IMG":"헤드스파7 샴트리샴푸.jpg"},</v>
      </c>
    </row>
    <row r="231" spans="2:11" ht="14.4" hidden="1" customHeight="1">
      <c r="B231" s="69">
        <v>234</v>
      </c>
      <c r="C231" s="61" t="s">
        <v>6</v>
      </c>
      <c r="D231" s="62" t="s">
        <v>380</v>
      </c>
      <c r="E231" s="44" t="s">
        <v>361</v>
      </c>
      <c r="F231" s="57">
        <v>4210</v>
      </c>
      <c r="G231" s="58">
        <v>1</v>
      </c>
      <c r="H231" s="45">
        <f>F231*G231</f>
        <v>4210</v>
      </c>
      <c r="I231" s="48" t="str">
        <f t="shared" si="6"/>
        <v>히말라야 핑크솔트 담은 칫솔.jpg</v>
      </c>
      <c r="J231" s="44"/>
      <c r="K231" s="50" t="str">
        <f t="shared" si="7"/>
        <v>{"ITM_SEQ":"234","TYPE":"기타","TYPE_DTL":"미정","ITM_NM":"히말라야 핑크솔트 담은 칫솔","PRICE":"4210","UNIT":"1","":"4210","IMG":"히말라야 핑크솔트 담은 칫솔.jpg"},</v>
      </c>
    </row>
    <row r="232" spans="2:11" ht="14.4" hidden="1" customHeight="1">
      <c r="B232" s="69"/>
      <c r="C232" s="61"/>
      <c r="D232" s="62"/>
      <c r="E232" s="44"/>
      <c r="F232" s="57"/>
      <c r="G232" s="58"/>
      <c r="H232" s="45"/>
      <c r="I232" s="46"/>
      <c r="J232" s="44"/>
      <c r="K232" s="50" t="s">
        <v>112</v>
      </c>
    </row>
    <row r="233" spans="2:11" ht="14.4" customHeight="1">
      <c r="B233" s="69"/>
      <c r="C233" s="61"/>
      <c r="D233" s="61"/>
      <c r="E233" s="44"/>
      <c r="F233" s="57"/>
      <c r="G233" s="58"/>
      <c r="H233" s="45"/>
      <c r="I233" s="46"/>
      <c r="J233" s="44"/>
    </row>
    <row r="234" spans="2:11" ht="14.4" customHeight="1">
      <c r="B234" s="69"/>
      <c r="C234" s="61"/>
      <c r="D234" s="61"/>
      <c r="E234" s="44"/>
      <c r="F234" s="57"/>
      <c r="G234" s="58"/>
      <c r="H234" s="45"/>
      <c r="I234" s="46"/>
      <c r="J234" s="44"/>
    </row>
    <row r="235" spans="2:11" ht="14.4" customHeight="1">
      <c r="B235" s="69"/>
      <c r="C235" s="61"/>
      <c r="D235" s="61"/>
      <c r="E235" s="44"/>
      <c r="F235" s="57"/>
      <c r="G235" s="58"/>
      <c r="H235" s="45"/>
      <c r="I235" s="46"/>
      <c r="J235" s="44"/>
    </row>
    <row r="236" spans="2:11" ht="14.4" customHeight="1">
      <c r="B236" s="69"/>
      <c r="C236" s="61"/>
      <c r="D236" s="61"/>
      <c r="E236" s="44"/>
      <c r="F236" s="57"/>
      <c r="G236" s="58"/>
      <c r="H236" s="45"/>
      <c r="I236" s="46"/>
      <c r="J236" s="44"/>
    </row>
    <row r="237" spans="2:11" ht="14.4" customHeight="1">
      <c r="B237" s="69"/>
      <c r="C237" s="61"/>
      <c r="D237" s="61"/>
      <c r="E237" s="44"/>
      <c r="F237" s="57"/>
      <c r="G237" s="58"/>
      <c r="H237" s="45"/>
      <c r="I237" s="46"/>
      <c r="J237" s="44"/>
    </row>
    <row r="238" spans="2:11" ht="14.4" customHeight="1">
      <c r="B238" s="69"/>
      <c r="C238" s="61"/>
      <c r="D238" s="61"/>
      <c r="E238" s="44"/>
      <c r="F238" s="57"/>
      <c r="G238" s="58"/>
      <c r="H238" s="45"/>
      <c r="I238" s="46"/>
      <c r="J238" s="44"/>
    </row>
    <row r="239" spans="2:11" ht="14.4" customHeight="1">
      <c r="B239" s="69"/>
      <c r="C239" s="61"/>
      <c r="D239" s="61"/>
      <c r="E239" s="44"/>
      <c r="F239" s="57"/>
      <c r="G239" s="58"/>
      <c r="H239" s="45"/>
      <c r="I239" s="46"/>
      <c r="J239" s="44"/>
    </row>
    <row r="240" spans="2:11" ht="14.4" customHeight="1">
      <c r="B240" s="69"/>
      <c r="C240" s="61"/>
      <c r="D240" s="61"/>
      <c r="E240" s="44"/>
      <c r="F240" s="57"/>
      <c r="G240" s="58"/>
      <c r="H240" s="45"/>
      <c r="I240" s="46"/>
      <c r="J240" s="44"/>
    </row>
    <row r="241" spans="2:10" ht="14.4" customHeight="1">
      <c r="B241" s="69"/>
      <c r="C241" s="61"/>
      <c r="D241" s="61"/>
      <c r="E241" s="44"/>
      <c r="F241" s="57"/>
      <c r="G241" s="58"/>
      <c r="H241" s="45"/>
      <c r="I241" s="46"/>
      <c r="J241" s="44"/>
    </row>
    <row r="242" spans="2:10" ht="14.4" customHeight="1">
      <c r="B242" s="69"/>
      <c r="C242" s="61"/>
      <c r="D242" s="61"/>
      <c r="E242" s="44"/>
      <c r="F242" s="57"/>
      <c r="G242" s="58"/>
      <c r="H242" s="45"/>
      <c r="I242" s="46"/>
      <c r="J242" s="44"/>
    </row>
    <row r="243" spans="2:10" ht="14.4" customHeight="1">
      <c r="B243" s="69"/>
      <c r="C243" s="61"/>
      <c r="D243" s="61"/>
      <c r="E243" s="44"/>
      <c r="F243" s="57"/>
      <c r="G243" s="58"/>
      <c r="H243" s="45"/>
      <c r="I243" s="46"/>
      <c r="J243" s="44"/>
    </row>
    <row r="244" spans="2:10" ht="14.4" customHeight="1">
      <c r="B244" s="69"/>
      <c r="C244" s="61"/>
      <c r="D244" s="61"/>
      <c r="E244" s="44"/>
      <c r="F244" s="57"/>
      <c r="G244" s="58"/>
      <c r="H244" s="45"/>
      <c r="I244" s="46"/>
      <c r="J244" s="44"/>
    </row>
    <row r="245" spans="2:10" ht="14.4" customHeight="1">
      <c r="B245" s="69"/>
      <c r="C245" s="61"/>
      <c r="D245" s="61"/>
      <c r="E245" s="44"/>
      <c r="F245" s="57"/>
      <c r="G245" s="58"/>
      <c r="H245" s="45"/>
      <c r="I245" s="46"/>
      <c r="J245" s="44"/>
    </row>
    <row r="246" spans="2:10" ht="14.4" customHeight="1">
      <c r="B246" s="69"/>
      <c r="C246" s="61"/>
      <c r="D246" s="61"/>
      <c r="E246" s="44"/>
      <c r="F246" s="57"/>
      <c r="G246" s="58"/>
      <c r="H246" s="45"/>
      <c r="I246" s="46"/>
      <c r="J246" s="44"/>
    </row>
    <row r="247" spans="2:10" ht="14.4" customHeight="1">
      <c r="B247" s="69"/>
      <c r="C247" s="61"/>
      <c r="D247" s="61"/>
      <c r="E247" s="44"/>
      <c r="F247" s="57"/>
      <c r="G247" s="58"/>
      <c r="H247" s="45"/>
      <c r="I247" s="46"/>
      <c r="J247" s="44"/>
    </row>
    <row r="248" spans="2:10" ht="14.4" customHeight="1">
      <c r="B248" s="69"/>
      <c r="C248" s="61"/>
      <c r="D248" s="61"/>
      <c r="E248" s="44"/>
      <c r="F248" s="57"/>
      <c r="G248" s="58"/>
      <c r="H248" s="45"/>
      <c r="I248" s="46"/>
      <c r="J248" s="44"/>
    </row>
    <row r="249" spans="2:10" ht="14.4" customHeight="1">
      <c r="B249" s="69"/>
      <c r="C249" s="61"/>
      <c r="D249" s="61"/>
      <c r="E249" s="44"/>
      <c r="F249" s="57"/>
      <c r="G249" s="58"/>
      <c r="H249" s="45"/>
      <c r="I249" s="46"/>
      <c r="J249" s="44"/>
    </row>
    <row r="250" spans="2:10" ht="14.4" customHeight="1">
      <c r="B250" s="69"/>
      <c r="C250" s="61"/>
      <c r="D250" s="61"/>
      <c r="E250" s="44"/>
      <c r="F250" s="57"/>
      <c r="G250" s="58"/>
      <c r="H250" s="45"/>
      <c r="I250" s="46"/>
      <c r="J250" s="44"/>
    </row>
    <row r="251" spans="2:10" ht="14.4" customHeight="1">
      <c r="B251" s="69"/>
      <c r="C251" s="61"/>
      <c r="D251" s="61"/>
      <c r="E251" s="44"/>
      <c r="F251" s="57"/>
      <c r="G251" s="58"/>
      <c r="H251" s="45"/>
      <c r="I251" s="46"/>
      <c r="J251" s="44"/>
    </row>
    <row r="252" spans="2:10" ht="14.4" customHeight="1">
      <c r="B252" s="69"/>
      <c r="C252" s="61"/>
      <c r="D252" s="61"/>
      <c r="E252" s="44"/>
      <c r="F252" s="57"/>
      <c r="G252" s="58"/>
      <c r="H252" s="45"/>
      <c r="I252" s="46"/>
      <c r="J252" s="44"/>
    </row>
    <row r="253" spans="2:10" ht="14.4" customHeight="1">
      <c r="B253" s="69"/>
      <c r="C253" s="61"/>
      <c r="D253" s="61"/>
      <c r="E253" s="44"/>
      <c r="F253" s="57"/>
      <c r="G253" s="58"/>
      <c r="H253" s="45"/>
      <c r="I253" s="46"/>
      <c r="J253" s="44"/>
    </row>
    <row r="254" spans="2:10" ht="14.4" customHeight="1">
      <c r="B254" s="69"/>
      <c r="C254" s="61"/>
      <c r="D254" s="61"/>
      <c r="E254" s="44"/>
      <c r="F254" s="57"/>
      <c r="G254" s="58"/>
      <c r="H254" s="45"/>
      <c r="I254" s="46"/>
      <c r="J254" s="44"/>
    </row>
    <row r="255" spans="2:10" ht="14.4" customHeight="1">
      <c r="B255" s="69"/>
      <c r="C255" s="61"/>
      <c r="D255" s="61"/>
      <c r="E255" s="44"/>
      <c r="F255" s="57"/>
      <c r="G255" s="58"/>
      <c r="H255" s="45"/>
      <c r="I255" s="46"/>
      <c r="J255" s="44"/>
    </row>
    <row r="256" spans="2:10" ht="14.4" customHeight="1">
      <c r="B256" s="69"/>
      <c r="C256" s="61"/>
      <c r="D256" s="61"/>
      <c r="E256" s="44"/>
      <c r="F256" s="57"/>
      <c r="G256" s="58"/>
      <c r="H256" s="45"/>
      <c r="I256" s="46"/>
      <c r="J256" s="44"/>
    </row>
    <row r="257" spans="2:10" ht="14.4" customHeight="1">
      <c r="B257" s="69"/>
      <c r="C257" s="61"/>
      <c r="D257" s="61"/>
      <c r="E257" s="44"/>
      <c r="F257" s="57"/>
      <c r="G257" s="58"/>
      <c r="H257" s="45"/>
      <c r="I257" s="46"/>
      <c r="J257" s="44"/>
    </row>
    <row r="258" spans="2:10" ht="14.4" customHeight="1">
      <c r="B258" s="69"/>
      <c r="C258" s="61"/>
      <c r="D258" s="61"/>
      <c r="E258" s="44"/>
      <c r="F258" s="57"/>
      <c r="G258" s="58"/>
      <c r="H258" s="45"/>
      <c r="I258" s="46"/>
      <c r="J258" s="44"/>
    </row>
    <row r="259" spans="2:10" ht="14.4" customHeight="1">
      <c r="B259" s="69"/>
      <c r="C259" s="61"/>
      <c r="D259" s="61"/>
      <c r="E259" s="44"/>
      <c r="F259" s="57"/>
      <c r="G259" s="58"/>
      <c r="H259" s="45"/>
      <c r="I259" s="46"/>
      <c r="J259" s="44"/>
    </row>
    <row r="260" spans="2:10" ht="14.4" customHeight="1">
      <c r="B260" s="69"/>
      <c r="C260" s="61"/>
      <c r="D260" s="61"/>
      <c r="E260" s="44"/>
      <c r="F260" s="57"/>
      <c r="G260" s="58"/>
      <c r="H260" s="45"/>
      <c r="I260" s="46"/>
      <c r="J260" s="44"/>
    </row>
    <row r="261" spans="2:10" ht="14.4" customHeight="1">
      <c r="B261" s="69"/>
      <c r="C261" s="61"/>
      <c r="D261" s="61"/>
      <c r="E261" s="44"/>
      <c r="F261" s="57"/>
      <c r="G261" s="58"/>
      <c r="H261" s="45"/>
      <c r="I261" s="46"/>
      <c r="J261" s="44"/>
    </row>
    <row r="262" spans="2:10" ht="14.4" customHeight="1">
      <c r="B262" s="69"/>
      <c r="C262" s="61"/>
      <c r="D262" s="61"/>
      <c r="E262" s="44"/>
      <c r="F262" s="57"/>
      <c r="G262" s="58"/>
      <c r="H262" s="45"/>
      <c r="I262" s="46"/>
      <c r="J262" s="44"/>
    </row>
    <row r="263" spans="2:10" ht="14.4" customHeight="1">
      <c r="B263" s="69"/>
      <c r="C263" s="61"/>
      <c r="D263" s="61"/>
      <c r="E263" s="44"/>
      <c r="F263" s="57"/>
      <c r="G263" s="58"/>
      <c r="H263" s="45"/>
      <c r="I263" s="46"/>
      <c r="J263" s="44"/>
    </row>
    <row r="264" spans="2:10" ht="14.4" customHeight="1">
      <c r="B264" s="69"/>
      <c r="C264" s="61"/>
      <c r="D264" s="61"/>
      <c r="E264" s="44"/>
      <c r="F264" s="57"/>
      <c r="G264" s="58"/>
      <c r="H264" s="45"/>
      <c r="I264" s="46"/>
      <c r="J264" s="44"/>
    </row>
    <row r="265" spans="2:10" ht="14.4" customHeight="1">
      <c r="B265" s="69"/>
      <c r="C265" s="61"/>
      <c r="D265" s="61"/>
      <c r="E265" s="44"/>
      <c r="F265" s="57"/>
      <c r="G265" s="58"/>
      <c r="H265" s="45"/>
      <c r="I265" s="46"/>
      <c r="J265" s="44"/>
    </row>
    <row r="266" spans="2:10" ht="14.4" customHeight="1">
      <c r="B266" s="69"/>
      <c r="C266" s="61"/>
      <c r="D266" s="61"/>
      <c r="E266" s="44"/>
      <c r="F266" s="57"/>
      <c r="G266" s="58"/>
      <c r="H266" s="45"/>
      <c r="I266" s="46"/>
      <c r="J266" s="44"/>
    </row>
    <row r="267" spans="2:10" ht="14.4" customHeight="1">
      <c r="B267" s="69"/>
      <c r="C267" s="61"/>
      <c r="D267" s="61"/>
      <c r="E267" s="44"/>
      <c r="F267" s="57"/>
      <c r="G267" s="58"/>
      <c r="H267" s="45"/>
      <c r="I267" s="46"/>
      <c r="J267" s="44"/>
    </row>
    <row r="268" spans="2:10" ht="14.4" customHeight="1">
      <c r="B268" s="69"/>
      <c r="C268" s="61"/>
      <c r="D268" s="61"/>
      <c r="E268" s="44"/>
      <c r="F268" s="57"/>
      <c r="G268" s="58"/>
      <c r="H268" s="45"/>
      <c r="I268" s="46"/>
      <c r="J268" s="44"/>
    </row>
    <row r="269" spans="2:10" ht="14.4" customHeight="1">
      <c r="B269" s="69"/>
      <c r="C269" s="61"/>
      <c r="D269" s="61"/>
      <c r="E269" s="44"/>
      <c r="F269" s="57"/>
      <c r="G269" s="58"/>
      <c r="H269" s="45"/>
      <c r="I269" s="46"/>
      <c r="J269" s="44"/>
    </row>
    <row r="270" spans="2:10" ht="14.4" customHeight="1">
      <c r="B270" s="69"/>
      <c r="C270" s="61"/>
      <c r="D270" s="61"/>
      <c r="E270" s="44"/>
      <c r="F270" s="57"/>
      <c r="G270" s="58"/>
      <c r="H270" s="45"/>
      <c r="I270" s="46"/>
      <c r="J270" s="44"/>
    </row>
    <row r="271" spans="2:10" ht="14.4" customHeight="1">
      <c r="B271" s="69"/>
      <c r="C271" s="61"/>
      <c r="D271" s="61"/>
      <c r="E271" s="44"/>
      <c r="F271" s="57"/>
      <c r="G271" s="58"/>
      <c r="H271" s="45"/>
      <c r="I271" s="46"/>
      <c r="J271" s="44"/>
    </row>
    <row r="272" spans="2:10" ht="14.4" customHeight="1">
      <c r="B272" s="69"/>
      <c r="C272" s="61"/>
      <c r="D272" s="61"/>
      <c r="E272" s="44"/>
      <c r="F272" s="57"/>
      <c r="G272" s="58"/>
      <c r="H272" s="45"/>
      <c r="I272" s="46"/>
      <c r="J272" s="44"/>
    </row>
    <row r="273" spans="2:10" ht="14.4" customHeight="1">
      <c r="B273" s="69"/>
      <c r="C273" s="61"/>
      <c r="D273" s="61"/>
      <c r="E273" s="44"/>
      <c r="F273" s="57"/>
      <c r="G273" s="58"/>
      <c r="H273" s="45"/>
      <c r="I273" s="46"/>
      <c r="J273" s="44"/>
    </row>
    <row r="274" spans="2:10" ht="14.4" customHeight="1">
      <c r="B274" s="69"/>
      <c r="C274" s="61"/>
      <c r="D274" s="61"/>
      <c r="E274" s="44"/>
      <c r="F274" s="57"/>
      <c r="G274" s="58"/>
      <c r="H274" s="45"/>
      <c r="I274" s="46"/>
      <c r="J274" s="44"/>
    </row>
    <row r="275" spans="2:10" ht="14.4" customHeight="1">
      <c r="B275" s="69"/>
      <c r="C275" s="61"/>
      <c r="D275" s="61"/>
      <c r="E275" s="44"/>
      <c r="F275" s="57"/>
      <c r="G275" s="58"/>
      <c r="H275" s="45"/>
      <c r="I275" s="46"/>
      <c r="J275" s="44"/>
    </row>
    <row r="276" spans="2:10" ht="14.4" customHeight="1">
      <c r="B276" s="69"/>
      <c r="C276" s="61"/>
      <c r="D276" s="61"/>
      <c r="E276" s="44"/>
      <c r="F276" s="57"/>
      <c r="G276" s="58"/>
      <c r="H276" s="45"/>
      <c r="I276" s="46"/>
      <c r="J276" s="44"/>
    </row>
    <row r="277" spans="2:10" ht="14.4" customHeight="1">
      <c r="B277" s="69"/>
      <c r="C277" s="61"/>
      <c r="D277" s="61"/>
      <c r="E277" s="44"/>
      <c r="F277" s="57"/>
      <c r="G277" s="58"/>
      <c r="H277" s="45"/>
      <c r="I277" s="46"/>
      <c r="J277" s="44"/>
    </row>
    <row r="278" spans="2:10" ht="14.4" customHeight="1">
      <c r="B278" s="69"/>
      <c r="C278" s="61"/>
      <c r="D278" s="61"/>
      <c r="E278" s="44"/>
      <c r="F278" s="57"/>
      <c r="G278" s="58"/>
      <c r="H278" s="45"/>
      <c r="I278" s="46"/>
      <c r="J278" s="44"/>
    </row>
    <row r="279" spans="2:10" ht="14.4" customHeight="1">
      <c r="B279" s="69"/>
      <c r="C279" s="61"/>
      <c r="D279" s="61"/>
      <c r="E279" s="44"/>
      <c r="F279" s="57"/>
      <c r="G279" s="58"/>
      <c r="H279" s="45"/>
      <c r="I279" s="46"/>
      <c r="J279" s="44"/>
    </row>
    <row r="280" spans="2:10" ht="14.4" customHeight="1">
      <c r="B280" s="69"/>
      <c r="C280" s="61"/>
      <c r="D280" s="61"/>
      <c r="E280" s="44"/>
      <c r="F280" s="57"/>
      <c r="G280" s="58"/>
      <c r="H280" s="45"/>
      <c r="I280" s="46"/>
      <c r="J280" s="44"/>
    </row>
    <row r="281" spans="2:10" ht="14.4" customHeight="1">
      <c r="B281" s="69"/>
      <c r="C281" s="61"/>
      <c r="D281" s="61"/>
      <c r="E281" s="44"/>
      <c r="F281" s="57"/>
      <c r="G281" s="58"/>
      <c r="H281" s="45"/>
      <c r="I281" s="46"/>
      <c r="J281" s="44"/>
    </row>
    <row r="282" spans="2:10" ht="14.4" customHeight="1">
      <c r="B282" s="69"/>
      <c r="C282" s="61"/>
      <c r="D282" s="61"/>
      <c r="E282" s="44"/>
      <c r="F282" s="57"/>
      <c r="G282" s="58"/>
      <c r="H282" s="45"/>
      <c r="I282" s="46"/>
      <c r="J282" s="44"/>
    </row>
    <row r="283" spans="2:10" ht="14.4" customHeight="1">
      <c r="B283" s="69"/>
      <c r="C283" s="61"/>
      <c r="D283" s="61"/>
      <c r="E283" s="44"/>
      <c r="F283" s="57"/>
      <c r="G283" s="58"/>
      <c r="H283" s="45"/>
      <c r="I283" s="46"/>
      <c r="J283" s="44"/>
    </row>
    <row r="284" spans="2:10" ht="14.4" customHeight="1">
      <c r="B284" s="69"/>
      <c r="C284" s="61"/>
      <c r="D284" s="61"/>
      <c r="E284" s="44"/>
      <c r="F284" s="57"/>
      <c r="G284" s="58"/>
      <c r="H284" s="45"/>
      <c r="I284" s="46"/>
      <c r="J284" s="44"/>
    </row>
    <row r="285" spans="2:10" ht="14.4" customHeight="1">
      <c r="B285" s="69"/>
      <c r="C285" s="61"/>
      <c r="D285" s="61"/>
      <c r="E285" s="44"/>
      <c r="F285" s="57"/>
      <c r="G285" s="58"/>
      <c r="H285" s="45"/>
      <c r="I285" s="46"/>
      <c r="J285" s="44"/>
    </row>
    <row r="286" spans="2:10" ht="14.4" customHeight="1">
      <c r="B286" s="69"/>
      <c r="C286" s="61"/>
      <c r="D286" s="61"/>
      <c r="E286" s="44"/>
      <c r="F286" s="57"/>
      <c r="G286" s="58"/>
      <c r="H286" s="45"/>
      <c r="I286" s="46"/>
      <c r="J286" s="44"/>
    </row>
    <row r="287" spans="2:10" ht="14.4" customHeight="1">
      <c r="B287" s="69"/>
      <c r="C287" s="61"/>
      <c r="D287" s="61"/>
      <c r="E287" s="44"/>
      <c r="F287" s="57"/>
      <c r="G287" s="58"/>
      <c r="H287" s="45"/>
      <c r="I287" s="46"/>
      <c r="J287" s="44"/>
    </row>
    <row r="288" spans="2:10" ht="14.4" customHeight="1">
      <c r="B288" s="69"/>
      <c r="C288" s="61"/>
      <c r="D288" s="61"/>
      <c r="E288" s="44"/>
      <c r="F288" s="57"/>
      <c r="G288" s="58"/>
      <c r="H288" s="45"/>
      <c r="I288" s="46"/>
      <c r="J288" s="44"/>
    </row>
    <row r="289" spans="2:10" ht="14.4" customHeight="1">
      <c r="B289" s="69"/>
      <c r="C289" s="61"/>
      <c r="D289" s="61"/>
      <c r="E289" s="44"/>
      <c r="F289" s="57"/>
      <c r="G289" s="58"/>
      <c r="H289" s="45"/>
      <c r="I289" s="46"/>
      <c r="J289" s="44"/>
    </row>
    <row r="290" spans="2:10" ht="14.4" customHeight="1">
      <c r="B290" s="69"/>
      <c r="C290" s="61"/>
      <c r="D290" s="61"/>
      <c r="E290" s="44"/>
      <c r="F290" s="57"/>
      <c r="G290" s="58"/>
      <c r="H290" s="45"/>
      <c r="I290" s="46"/>
      <c r="J290" s="44"/>
    </row>
    <row r="291" spans="2:10" ht="14.4" customHeight="1">
      <c r="B291" s="69"/>
      <c r="C291" s="61"/>
      <c r="D291" s="61"/>
      <c r="E291" s="44"/>
      <c r="F291" s="57"/>
      <c r="G291" s="58"/>
      <c r="H291" s="45"/>
      <c r="I291" s="46"/>
      <c r="J291" s="44"/>
    </row>
    <row r="292" spans="2:10" ht="14.4" customHeight="1">
      <c r="B292" s="69"/>
      <c r="C292" s="61"/>
      <c r="D292" s="61"/>
      <c r="E292" s="44"/>
      <c r="F292" s="57"/>
      <c r="G292" s="58"/>
      <c r="H292" s="45"/>
      <c r="I292" s="46"/>
      <c r="J292" s="44"/>
    </row>
    <row r="293" spans="2:10" ht="14.4" customHeight="1">
      <c r="B293" s="69"/>
      <c r="C293" s="61"/>
      <c r="D293" s="61"/>
      <c r="E293" s="44"/>
      <c r="F293" s="57"/>
      <c r="G293" s="58"/>
      <c r="H293" s="45"/>
      <c r="I293" s="46"/>
      <c r="J293" s="44"/>
    </row>
    <row r="294" spans="2:10" ht="14.4" customHeight="1">
      <c r="B294" s="69"/>
      <c r="C294" s="61"/>
      <c r="D294" s="61"/>
      <c r="E294" s="44"/>
      <c r="F294" s="57"/>
      <c r="G294" s="58"/>
      <c r="H294" s="45"/>
      <c r="I294" s="46"/>
      <c r="J294" s="44"/>
    </row>
    <row r="295" spans="2:10" ht="14.4" customHeight="1">
      <c r="B295" s="69"/>
      <c r="C295" s="61"/>
      <c r="D295" s="61"/>
      <c r="E295" s="44"/>
      <c r="F295" s="57"/>
      <c r="G295" s="58"/>
      <c r="H295" s="45"/>
      <c r="I295" s="46"/>
      <c r="J295" s="44"/>
    </row>
    <row r="296" spans="2:10" ht="14.4" customHeight="1">
      <c r="B296" s="69"/>
      <c r="C296" s="61"/>
      <c r="D296" s="61"/>
      <c r="E296" s="44"/>
      <c r="F296" s="57"/>
      <c r="G296" s="58"/>
      <c r="H296" s="45"/>
      <c r="I296" s="46"/>
      <c r="J296" s="44"/>
    </row>
    <row r="297" spans="2:10" ht="14.4" customHeight="1">
      <c r="B297" s="69"/>
      <c r="C297" s="61"/>
      <c r="D297" s="61"/>
      <c r="E297" s="44"/>
      <c r="F297" s="57"/>
      <c r="G297" s="58"/>
      <c r="H297" s="45"/>
      <c r="I297" s="46"/>
      <c r="J297" s="44"/>
    </row>
    <row r="298" spans="2:10" ht="14.4" customHeight="1">
      <c r="B298" s="69"/>
      <c r="C298" s="61"/>
      <c r="D298" s="61"/>
      <c r="E298" s="44"/>
      <c r="F298" s="57"/>
      <c r="G298" s="58"/>
      <c r="H298" s="45"/>
      <c r="I298" s="46"/>
      <c r="J298" s="44"/>
    </row>
    <row r="299" spans="2:10" ht="14.4" customHeight="1">
      <c r="B299" s="69"/>
      <c r="C299" s="61"/>
      <c r="D299" s="61"/>
      <c r="E299" s="44"/>
      <c r="F299" s="57"/>
      <c r="G299" s="58"/>
      <c r="H299" s="45"/>
      <c r="I299" s="46"/>
      <c r="J299" s="44"/>
    </row>
    <row r="300" spans="2:10" ht="14.4" customHeight="1">
      <c r="B300" s="69"/>
      <c r="C300" s="61"/>
      <c r="D300" s="61"/>
      <c r="E300" s="44"/>
      <c r="F300" s="57"/>
      <c r="G300" s="58"/>
      <c r="H300" s="45"/>
      <c r="I300" s="46"/>
      <c r="J300" s="44"/>
    </row>
    <row r="301" spans="2:10" ht="14.4" customHeight="1">
      <c r="B301" s="69"/>
      <c r="C301" s="61"/>
      <c r="D301" s="61"/>
      <c r="E301" s="44"/>
      <c r="F301" s="57"/>
      <c r="G301" s="58"/>
      <c r="H301" s="45"/>
      <c r="I301" s="46"/>
      <c r="J301" s="44"/>
    </row>
    <row r="302" spans="2:10" ht="14.4" customHeight="1">
      <c r="B302" s="69"/>
      <c r="C302" s="61"/>
      <c r="D302" s="61"/>
      <c r="E302" s="44"/>
      <c r="F302" s="57"/>
      <c r="G302" s="58"/>
      <c r="H302" s="45"/>
      <c r="I302" s="46"/>
      <c r="J302" s="44"/>
    </row>
    <row r="303" spans="2:10" ht="14.4" customHeight="1">
      <c r="B303" s="69"/>
      <c r="C303" s="61"/>
      <c r="D303" s="61"/>
      <c r="E303" s="44"/>
      <c r="F303" s="57"/>
      <c r="G303" s="58"/>
      <c r="H303" s="45"/>
      <c r="I303" s="46"/>
      <c r="J303" s="44"/>
    </row>
    <row r="304" spans="2:10" ht="14.4" customHeight="1">
      <c r="B304" s="69"/>
      <c r="C304" s="61"/>
      <c r="D304" s="61"/>
      <c r="E304" s="44"/>
      <c r="F304" s="57"/>
      <c r="G304" s="58"/>
      <c r="H304" s="45"/>
      <c r="I304" s="46"/>
      <c r="J304" s="44"/>
    </row>
    <row r="305" spans="2:10" ht="14.4" customHeight="1">
      <c r="B305" s="69"/>
      <c r="C305" s="61"/>
      <c r="D305" s="61"/>
      <c r="E305" s="44"/>
      <c r="F305" s="57"/>
      <c r="G305" s="58"/>
      <c r="H305" s="45"/>
      <c r="I305" s="46"/>
      <c r="J305" s="44"/>
    </row>
    <row r="306" spans="2:10" ht="14.4" customHeight="1">
      <c r="B306" s="69"/>
      <c r="C306" s="61"/>
      <c r="D306" s="61"/>
      <c r="E306" s="44"/>
      <c r="F306" s="57"/>
      <c r="G306" s="58"/>
      <c r="H306" s="45"/>
      <c r="I306" s="46"/>
      <c r="J306" s="44"/>
    </row>
    <row r="307" spans="2:10" ht="14.4" customHeight="1">
      <c r="B307" s="69"/>
      <c r="C307" s="61"/>
      <c r="D307" s="61"/>
      <c r="E307" s="44"/>
      <c r="F307" s="57"/>
      <c r="G307" s="58"/>
      <c r="H307" s="45"/>
      <c r="I307" s="46"/>
      <c r="J307" s="44"/>
    </row>
    <row r="308" spans="2:10" ht="14.4" customHeight="1">
      <c r="B308" s="69"/>
      <c r="C308" s="61"/>
      <c r="D308" s="61"/>
      <c r="E308" s="44"/>
      <c r="F308" s="57"/>
      <c r="G308" s="58"/>
      <c r="H308" s="45"/>
      <c r="I308" s="46"/>
      <c r="J308" s="44"/>
    </row>
    <row r="309" spans="2:10" ht="14.4" customHeight="1">
      <c r="B309" s="69"/>
      <c r="C309" s="61"/>
      <c r="D309" s="61"/>
      <c r="E309" s="44"/>
      <c r="F309" s="57"/>
      <c r="G309" s="58"/>
      <c r="H309" s="45"/>
      <c r="I309" s="46"/>
      <c r="J309" s="44"/>
    </row>
    <row r="310" spans="2:10" ht="14.4" customHeight="1">
      <c r="B310" s="69"/>
      <c r="C310" s="61"/>
      <c r="D310" s="61"/>
      <c r="E310" s="44"/>
      <c r="F310" s="57"/>
      <c r="G310" s="58"/>
      <c r="H310" s="45"/>
      <c r="I310" s="46"/>
      <c r="J310" s="44"/>
    </row>
    <row r="311" spans="2:10" ht="14.4" customHeight="1">
      <c r="B311" s="69"/>
      <c r="C311" s="61"/>
      <c r="D311" s="61"/>
      <c r="E311" s="44"/>
      <c r="F311" s="57"/>
      <c r="G311" s="58"/>
      <c r="H311" s="45"/>
      <c r="I311" s="46"/>
      <c r="J311" s="44"/>
    </row>
    <row r="312" spans="2:10" ht="14.4" customHeight="1">
      <c r="B312" s="69"/>
      <c r="C312" s="61"/>
      <c r="D312" s="61"/>
      <c r="E312" s="44"/>
      <c r="F312" s="57"/>
      <c r="G312" s="58"/>
      <c r="H312" s="45"/>
      <c r="I312" s="46"/>
      <c r="J312" s="44"/>
    </row>
    <row r="313" spans="2:10" ht="14.4" customHeight="1">
      <c r="B313" s="69"/>
      <c r="C313" s="61"/>
      <c r="D313" s="61"/>
      <c r="E313" s="44"/>
      <c r="F313" s="57"/>
      <c r="G313" s="58"/>
      <c r="H313" s="45"/>
      <c r="I313" s="46"/>
      <c r="J313" s="44"/>
    </row>
    <row r="314" spans="2:10" ht="14.4" customHeight="1">
      <c r="B314" s="69"/>
      <c r="C314" s="61"/>
      <c r="D314" s="61"/>
      <c r="E314" s="44"/>
      <c r="F314" s="57"/>
      <c r="G314" s="58"/>
      <c r="H314" s="45"/>
      <c r="I314" s="46"/>
      <c r="J314" s="44"/>
    </row>
    <row r="315" spans="2:10" ht="14.4" customHeight="1">
      <c r="B315" s="69"/>
      <c r="C315" s="61"/>
      <c r="D315" s="61"/>
      <c r="E315" s="44"/>
      <c r="F315" s="57"/>
      <c r="G315" s="58"/>
      <c r="H315" s="45"/>
      <c r="I315" s="46"/>
      <c r="J315" s="44"/>
    </row>
    <row r="316" spans="2:10" ht="14.4" customHeight="1">
      <c r="B316" s="69"/>
      <c r="C316" s="61"/>
      <c r="D316" s="61"/>
      <c r="E316" s="44"/>
      <c r="F316" s="57"/>
      <c r="G316" s="58"/>
      <c r="H316" s="45"/>
      <c r="I316" s="46"/>
      <c r="J316" s="44"/>
    </row>
    <row r="317" spans="2:10" ht="14.4" customHeight="1">
      <c r="B317" s="69"/>
      <c r="C317" s="61"/>
      <c r="D317" s="61"/>
      <c r="E317" s="44"/>
      <c r="F317" s="57"/>
      <c r="G317" s="58"/>
      <c r="H317" s="45"/>
      <c r="I317" s="46"/>
      <c r="J317" s="44"/>
    </row>
    <row r="318" spans="2:10" ht="14.4" customHeight="1">
      <c r="B318" s="69"/>
      <c r="C318" s="61"/>
      <c r="D318" s="61"/>
      <c r="E318" s="44"/>
      <c r="F318" s="57"/>
      <c r="G318" s="58"/>
      <c r="H318" s="45"/>
      <c r="I318" s="46"/>
      <c r="J318" s="44"/>
    </row>
    <row r="319" spans="2:10" ht="14.4" customHeight="1">
      <c r="B319" s="69"/>
      <c r="C319" s="61"/>
      <c r="D319" s="61"/>
      <c r="E319" s="44"/>
      <c r="F319" s="57"/>
      <c r="G319" s="58"/>
      <c r="H319" s="45"/>
      <c r="I319" s="46"/>
      <c r="J319" s="44"/>
    </row>
    <row r="320" spans="2:10" ht="14.4" customHeight="1">
      <c r="B320" s="69"/>
      <c r="C320" s="61"/>
      <c r="D320" s="61"/>
      <c r="E320" s="44"/>
      <c r="F320" s="57"/>
      <c r="G320" s="58"/>
      <c r="H320" s="45"/>
      <c r="I320" s="46"/>
      <c r="J320" s="44"/>
    </row>
    <row r="321" spans="2:10" ht="14.4" customHeight="1">
      <c r="B321" s="69"/>
      <c r="C321" s="61"/>
      <c r="D321" s="61"/>
      <c r="E321" s="44"/>
      <c r="F321" s="57"/>
      <c r="G321" s="58"/>
      <c r="H321" s="45"/>
      <c r="I321" s="46"/>
      <c r="J321" s="44"/>
    </row>
    <row r="322" spans="2:10" ht="14.4" customHeight="1">
      <c r="B322" s="69"/>
      <c r="C322" s="61"/>
      <c r="D322" s="61"/>
      <c r="E322" s="44"/>
      <c r="F322" s="57"/>
      <c r="G322" s="58"/>
      <c r="H322" s="45"/>
      <c r="I322" s="46"/>
      <c r="J322" s="44"/>
    </row>
    <row r="323" spans="2:10" ht="14.4" customHeight="1">
      <c r="B323" s="69"/>
      <c r="C323" s="61"/>
      <c r="D323" s="61"/>
      <c r="E323" s="44"/>
      <c r="F323" s="57"/>
      <c r="G323" s="58"/>
      <c r="H323" s="45"/>
      <c r="I323" s="46"/>
      <c r="J323" s="44"/>
    </row>
    <row r="324" spans="2:10" ht="14.4" customHeight="1">
      <c r="B324" s="69"/>
      <c r="C324" s="61"/>
      <c r="D324" s="61"/>
      <c r="E324" s="44"/>
      <c r="F324" s="57"/>
      <c r="G324" s="58"/>
      <c r="H324" s="45"/>
      <c r="I324" s="46"/>
      <c r="J324" s="44"/>
    </row>
    <row r="325" spans="2:10" ht="14.4" customHeight="1">
      <c r="B325" s="69"/>
      <c r="C325" s="61"/>
      <c r="D325" s="61"/>
      <c r="E325" s="44"/>
      <c r="F325" s="57"/>
      <c r="G325" s="58"/>
      <c r="H325" s="45"/>
      <c r="I325" s="46"/>
      <c r="J325" s="44"/>
    </row>
    <row r="326" spans="2:10" ht="14.4" customHeight="1">
      <c r="B326" s="69"/>
      <c r="C326" s="61"/>
      <c r="D326" s="61"/>
      <c r="E326" s="44"/>
      <c r="F326" s="57"/>
      <c r="G326" s="58"/>
      <c r="H326" s="45"/>
      <c r="I326" s="46"/>
      <c r="J326" s="44"/>
    </row>
    <row r="327" spans="2:10" ht="14.4" customHeight="1">
      <c r="B327" s="69"/>
      <c r="C327" s="61"/>
      <c r="D327" s="61"/>
      <c r="E327" s="44"/>
      <c r="F327" s="57"/>
      <c r="G327" s="58"/>
      <c r="H327" s="45"/>
      <c r="I327" s="46"/>
      <c r="J327" s="44"/>
    </row>
    <row r="328" spans="2:10" ht="14.4" customHeight="1">
      <c r="B328" s="69"/>
      <c r="C328" s="61"/>
      <c r="D328" s="61"/>
      <c r="E328" s="44"/>
      <c r="F328" s="57"/>
      <c r="G328" s="58"/>
      <c r="H328" s="45"/>
      <c r="I328" s="46"/>
      <c r="J328" s="44"/>
    </row>
    <row r="329" spans="2:10" ht="14.4" customHeight="1">
      <c r="B329" s="69"/>
      <c r="C329" s="61"/>
      <c r="D329" s="61"/>
      <c r="E329" s="44"/>
      <c r="F329" s="57"/>
      <c r="G329" s="58"/>
      <c r="H329" s="45"/>
      <c r="I329" s="46"/>
      <c r="J329" s="44"/>
    </row>
    <row r="330" spans="2:10" ht="14.4" customHeight="1">
      <c r="B330" s="69"/>
      <c r="C330" s="61"/>
      <c r="D330" s="61"/>
      <c r="E330" s="44"/>
      <c r="F330" s="57"/>
      <c r="G330" s="58"/>
      <c r="H330" s="45"/>
      <c r="I330" s="46"/>
      <c r="J330" s="44"/>
    </row>
    <row r="331" spans="2:10" ht="14.4" customHeight="1">
      <c r="B331" s="69"/>
      <c r="C331" s="61"/>
      <c r="D331" s="61"/>
      <c r="E331" s="44"/>
      <c r="F331" s="57"/>
      <c r="G331" s="58"/>
      <c r="H331" s="45"/>
      <c r="I331" s="46"/>
      <c r="J331" s="44"/>
    </row>
    <row r="332" spans="2:10" ht="14.4" customHeight="1">
      <c r="B332" s="69"/>
      <c r="C332" s="61"/>
      <c r="D332" s="61"/>
      <c r="E332" s="44"/>
      <c r="F332" s="57"/>
      <c r="G332" s="58"/>
      <c r="H332" s="45"/>
      <c r="I332" s="46"/>
      <c r="J332" s="44"/>
    </row>
    <row r="333" spans="2:10" ht="14.4" customHeight="1">
      <c r="B333" s="69"/>
      <c r="C333" s="61"/>
      <c r="D333" s="61"/>
      <c r="E333" s="44"/>
      <c r="F333" s="57"/>
      <c r="G333" s="58"/>
      <c r="H333" s="45"/>
      <c r="I333" s="46"/>
      <c r="J333" s="44"/>
    </row>
    <row r="334" spans="2:10" ht="14.4" customHeight="1">
      <c r="B334" s="69"/>
      <c r="C334" s="61"/>
      <c r="D334" s="61"/>
      <c r="E334" s="44"/>
      <c r="F334" s="57"/>
      <c r="G334" s="58"/>
      <c r="H334" s="45"/>
      <c r="I334" s="46"/>
      <c r="J334" s="44"/>
    </row>
    <row r="335" spans="2:10" ht="14.4" customHeight="1">
      <c r="B335" s="69"/>
      <c r="C335" s="61"/>
      <c r="D335" s="61"/>
      <c r="E335" s="44"/>
      <c r="F335" s="57"/>
      <c r="G335" s="58"/>
      <c r="H335" s="45"/>
      <c r="I335" s="46"/>
      <c r="J335" s="44"/>
    </row>
    <row r="336" spans="2:10" ht="14.4" customHeight="1">
      <c r="B336" s="69"/>
      <c r="C336" s="61"/>
      <c r="D336" s="61"/>
      <c r="E336" s="44"/>
      <c r="F336" s="57"/>
      <c r="G336" s="58"/>
      <c r="H336" s="45"/>
      <c r="I336" s="46"/>
      <c r="J336" s="44"/>
    </row>
    <row r="337" spans="2:10" ht="14.4" customHeight="1">
      <c r="B337" s="69"/>
      <c r="C337" s="61"/>
      <c r="D337" s="61"/>
      <c r="E337" s="44"/>
      <c r="F337" s="57"/>
      <c r="G337" s="58"/>
      <c r="H337" s="45"/>
      <c r="I337" s="46"/>
      <c r="J337" s="44"/>
    </row>
    <row r="338" spans="2:10" ht="14.4" customHeight="1">
      <c r="B338" s="69"/>
      <c r="C338" s="61"/>
      <c r="D338" s="61"/>
      <c r="E338" s="44"/>
      <c r="F338" s="57"/>
      <c r="G338" s="58"/>
      <c r="H338" s="45"/>
      <c r="I338" s="46"/>
      <c r="J338" s="44"/>
    </row>
    <row r="339" spans="2:10" ht="14.4" customHeight="1">
      <c r="B339" s="69"/>
      <c r="C339" s="61"/>
      <c r="D339" s="61"/>
      <c r="E339" s="44"/>
      <c r="F339" s="57"/>
      <c r="G339" s="58"/>
      <c r="H339" s="45"/>
      <c r="I339" s="46"/>
      <c r="J339" s="44"/>
    </row>
    <row r="340" spans="2:10" ht="14.4" customHeight="1">
      <c r="B340" s="69"/>
      <c r="C340" s="61"/>
      <c r="D340" s="61"/>
      <c r="E340" s="44"/>
      <c r="F340" s="57"/>
      <c r="G340" s="58"/>
      <c r="H340" s="45"/>
      <c r="I340" s="46"/>
      <c r="J340" s="44"/>
    </row>
    <row r="341" spans="2:10" ht="14.4" customHeight="1">
      <c r="B341" s="69"/>
      <c r="C341" s="61"/>
      <c r="D341" s="61"/>
      <c r="E341" s="44"/>
      <c r="F341" s="57"/>
      <c r="G341" s="58"/>
      <c r="H341" s="45"/>
      <c r="I341" s="46"/>
      <c r="J341" s="44"/>
    </row>
    <row r="342" spans="2:10" ht="14.4" customHeight="1">
      <c r="B342" s="69"/>
      <c r="C342" s="61"/>
      <c r="D342" s="61"/>
      <c r="E342" s="44"/>
      <c r="F342" s="57"/>
      <c r="G342" s="58"/>
      <c r="H342" s="45"/>
      <c r="I342" s="46"/>
      <c r="J342" s="44"/>
    </row>
    <row r="343" spans="2:10" ht="14.4" customHeight="1">
      <c r="B343" s="69"/>
      <c r="C343" s="61"/>
      <c r="D343" s="61"/>
      <c r="E343" s="44"/>
      <c r="F343" s="57"/>
      <c r="G343" s="58"/>
      <c r="H343" s="45"/>
      <c r="I343" s="46"/>
      <c r="J343" s="44"/>
    </row>
    <row r="344" spans="2:10" ht="14.4" customHeight="1">
      <c r="B344" s="69"/>
      <c r="C344" s="61"/>
      <c r="D344" s="61"/>
      <c r="E344" s="44"/>
      <c r="F344" s="57"/>
      <c r="G344" s="58"/>
      <c r="H344" s="45"/>
      <c r="I344" s="46"/>
      <c r="J344" s="44"/>
    </row>
    <row r="345" spans="2:10" ht="14.4" customHeight="1">
      <c r="B345" s="69"/>
      <c r="C345" s="61"/>
      <c r="D345" s="61"/>
      <c r="E345" s="44"/>
      <c r="F345" s="57"/>
      <c r="G345" s="58"/>
      <c r="H345" s="45"/>
      <c r="I345" s="46"/>
      <c r="J345" s="44"/>
    </row>
    <row r="346" spans="2:10" ht="14.4" customHeight="1">
      <c r="B346" s="69"/>
      <c r="C346" s="61"/>
      <c r="D346" s="61"/>
      <c r="E346" s="44"/>
      <c r="F346" s="57"/>
      <c r="G346" s="58"/>
      <c r="H346" s="45"/>
      <c r="I346" s="46"/>
      <c r="J346" s="44"/>
    </row>
    <row r="347" spans="2:10" ht="14.4" customHeight="1">
      <c r="B347" s="69"/>
      <c r="C347" s="61"/>
      <c r="D347" s="61"/>
      <c r="E347" s="44"/>
      <c r="F347" s="57"/>
      <c r="G347" s="58"/>
      <c r="H347" s="45"/>
      <c r="I347" s="46"/>
      <c r="J347" s="44"/>
    </row>
    <row r="348" spans="2:10" ht="14.4" customHeight="1">
      <c r="B348" s="69"/>
      <c r="C348" s="61"/>
      <c r="D348" s="61"/>
      <c r="E348" s="44"/>
      <c r="F348" s="57"/>
      <c r="G348" s="58"/>
      <c r="H348" s="45"/>
      <c r="I348" s="46"/>
      <c r="J348" s="44"/>
    </row>
    <row r="349" spans="2:10" ht="14.4" customHeight="1">
      <c r="B349" s="69"/>
      <c r="C349" s="61"/>
      <c r="D349" s="61"/>
      <c r="E349" s="44"/>
      <c r="F349" s="57"/>
      <c r="G349" s="58"/>
      <c r="H349" s="45"/>
      <c r="I349" s="46"/>
      <c r="J349" s="44"/>
    </row>
    <row r="350" spans="2:10" ht="14.4" customHeight="1">
      <c r="B350" s="69"/>
      <c r="C350" s="61"/>
      <c r="D350" s="61"/>
      <c r="E350" s="44"/>
      <c r="F350" s="57"/>
      <c r="G350" s="58"/>
      <c r="H350" s="45"/>
      <c r="I350" s="46"/>
      <c r="J350" s="44"/>
    </row>
    <row r="351" spans="2:10" ht="14.4" customHeight="1">
      <c r="B351" s="69"/>
      <c r="C351" s="61"/>
      <c r="D351" s="61"/>
      <c r="E351" s="44"/>
      <c r="F351" s="57"/>
      <c r="G351" s="58"/>
      <c r="H351" s="45"/>
      <c r="I351" s="46"/>
      <c r="J351" s="44"/>
    </row>
    <row r="352" spans="2:10" ht="14.4" customHeight="1">
      <c r="B352" s="69"/>
      <c r="C352" s="61"/>
      <c r="D352" s="61"/>
      <c r="E352" s="44"/>
      <c r="F352" s="57"/>
      <c r="G352" s="58"/>
      <c r="H352" s="45"/>
      <c r="I352" s="46"/>
      <c r="J352" s="44"/>
    </row>
    <row r="353" spans="2:10" ht="14.4" customHeight="1">
      <c r="B353" s="69"/>
      <c r="C353" s="61"/>
      <c r="D353" s="61"/>
      <c r="E353" s="44"/>
      <c r="F353" s="57"/>
      <c r="G353" s="58"/>
      <c r="H353" s="45"/>
      <c r="I353" s="46"/>
      <c r="J353" s="44"/>
    </row>
    <row r="354" spans="2:10" ht="14.4" customHeight="1">
      <c r="B354" s="69"/>
      <c r="C354" s="61"/>
      <c r="D354" s="61"/>
      <c r="E354" s="44"/>
      <c r="F354" s="57"/>
      <c r="G354" s="58"/>
      <c r="H354" s="45"/>
      <c r="I354" s="46"/>
      <c r="J354" s="44"/>
    </row>
    <row r="355" spans="2:10" ht="14.4" customHeight="1">
      <c r="B355" s="69"/>
      <c r="C355" s="61"/>
      <c r="D355" s="61"/>
      <c r="E355" s="44"/>
      <c r="F355" s="57"/>
      <c r="G355" s="58"/>
      <c r="H355" s="45"/>
      <c r="I355" s="46"/>
      <c r="J355" s="44"/>
    </row>
    <row r="356" spans="2:10" ht="14.4" customHeight="1">
      <c r="B356" s="69"/>
      <c r="C356" s="61"/>
      <c r="D356" s="61"/>
      <c r="E356" s="44"/>
      <c r="F356" s="57"/>
      <c r="G356" s="58"/>
      <c r="H356" s="45"/>
      <c r="I356" s="46"/>
      <c r="J356" s="44"/>
    </row>
    <row r="357" spans="2:10" ht="14.4" customHeight="1">
      <c r="B357" s="69"/>
      <c r="C357" s="61"/>
      <c r="D357" s="61"/>
      <c r="E357" s="44"/>
      <c r="F357" s="57"/>
      <c r="G357" s="58"/>
      <c r="H357" s="45"/>
      <c r="I357" s="46"/>
      <c r="J357" s="44"/>
    </row>
    <row r="358" spans="2:10" ht="14.4" customHeight="1">
      <c r="B358" s="69"/>
      <c r="C358" s="61"/>
      <c r="D358" s="61"/>
      <c r="E358" s="44"/>
      <c r="F358" s="57"/>
      <c r="G358" s="58"/>
      <c r="H358" s="45"/>
      <c r="I358" s="46"/>
      <c r="J358" s="44"/>
    </row>
    <row r="359" spans="2:10" ht="14.4" customHeight="1">
      <c r="B359" s="69"/>
      <c r="C359" s="61"/>
      <c r="D359" s="61"/>
      <c r="E359" s="44"/>
      <c r="F359" s="57"/>
      <c r="G359" s="58"/>
      <c r="H359" s="45"/>
      <c r="I359" s="46"/>
      <c r="J359" s="44"/>
    </row>
    <row r="360" spans="2:10" ht="14.4" customHeight="1">
      <c r="B360" s="69"/>
      <c r="C360" s="61"/>
      <c r="D360" s="61"/>
      <c r="E360" s="44"/>
      <c r="F360" s="57"/>
      <c r="G360" s="58"/>
      <c r="H360" s="45"/>
      <c r="I360" s="46"/>
      <c r="J360" s="44"/>
    </row>
    <row r="361" spans="2:10" ht="14.4" customHeight="1">
      <c r="B361" s="69"/>
      <c r="C361" s="61"/>
      <c r="D361" s="61"/>
      <c r="E361" s="44"/>
      <c r="F361" s="57"/>
      <c r="G361" s="58"/>
      <c r="H361" s="45"/>
      <c r="I361" s="46"/>
      <c r="J361" s="44"/>
    </row>
    <row r="362" spans="2:10" ht="14.4" customHeight="1">
      <c r="B362" s="69"/>
      <c r="C362" s="61"/>
      <c r="D362" s="61"/>
      <c r="E362" s="44"/>
      <c r="F362" s="57"/>
      <c r="G362" s="58"/>
      <c r="H362" s="45"/>
      <c r="I362" s="46"/>
      <c r="J362" s="44"/>
    </row>
    <row r="363" spans="2:10" ht="14.4" customHeight="1">
      <c r="B363" s="69"/>
      <c r="C363" s="61"/>
      <c r="D363" s="61"/>
      <c r="E363" s="44"/>
      <c r="F363" s="57"/>
      <c r="G363" s="58"/>
      <c r="H363" s="45"/>
      <c r="I363" s="46"/>
      <c r="J363" s="44"/>
    </row>
    <row r="364" spans="2:10" ht="14.4" customHeight="1">
      <c r="B364" s="69"/>
      <c r="C364" s="61"/>
      <c r="D364" s="61"/>
      <c r="E364" s="44"/>
      <c r="F364" s="57"/>
      <c r="G364" s="58"/>
      <c r="H364" s="45"/>
      <c r="I364" s="46"/>
      <c r="J364" s="44"/>
    </row>
    <row r="365" spans="2:10" ht="14.4" customHeight="1">
      <c r="B365" s="69"/>
      <c r="C365" s="61"/>
      <c r="D365" s="61"/>
      <c r="E365" s="44"/>
      <c r="F365" s="57"/>
      <c r="G365" s="58"/>
      <c r="H365" s="45"/>
      <c r="I365" s="46"/>
      <c r="J365" s="44"/>
    </row>
    <row r="366" spans="2:10" ht="14.4" customHeight="1">
      <c r="B366" s="69"/>
      <c r="C366" s="61"/>
      <c r="D366" s="61"/>
      <c r="E366" s="44"/>
      <c r="F366" s="57"/>
      <c r="G366" s="58"/>
      <c r="H366" s="45"/>
      <c r="I366" s="46"/>
      <c r="J366" s="44"/>
    </row>
    <row r="367" spans="2:10" ht="14.4" customHeight="1">
      <c r="B367" s="69"/>
      <c r="C367" s="61"/>
      <c r="D367" s="61"/>
      <c r="E367" s="44"/>
      <c r="F367" s="57"/>
      <c r="G367" s="58"/>
      <c r="H367" s="45"/>
      <c r="I367" s="46"/>
      <c r="J367" s="44"/>
    </row>
    <row r="368" spans="2:10" ht="14.4" customHeight="1">
      <c r="B368" s="69"/>
      <c r="C368" s="61"/>
      <c r="D368" s="61"/>
      <c r="E368" s="44"/>
      <c r="F368" s="57"/>
      <c r="G368" s="58"/>
      <c r="H368" s="45"/>
      <c r="I368" s="46"/>
      <c r="J368" s="44"/>
    </row>
    <row r="369" spans="2:10" ht="14.4" customHeight="1">
      <c r="B369" s="69"/>
      <c r="C369" s="61"/>
      <c r="D369" s="61"/>
      <c r="E369" s="44"/>
      <c r="F369" s="57"/>
      <c r="G369" s="58"/>
      <c r="H369" s="45"/>
      <c r="I369" s="46"/>
      <c r="J369" s="44"/>
    </row>
    <row r="370" spans="2:10" ht="14.4" customHeight="1">
      <c r="B370" s="69"/>
      <c r="C370" s="61"/>
      <c r="D370" s="61"/>
      <c r="E370" s="44"/>
      <c r="F370" s="57"/>
      <c r="G370" s="58"/>
      <c r="H370" s="45"/>
      <c r="I370" s="46"/>
      <c r="J370" s="44"/>
    </row>
    <row r="371" spans="2:10" ht="14.4" customHeight="1">
      <c r="B371" s="69"/>
      <c r="C371" s="61"/>
      <c r="D371" s="61"/>
      <c r="E371" s="44"/>
      <c r="F371" s="57"/>
      <c r="G371" s="58"/>
      <c r="H371" s="45"/>
      <c r="I371" s="46"/>
      <c r="J371" s="44"/>
    </row>
    <row r="372" spans="2:10" ht="14.4" customHeight="1">
      <c r="B372" s="69"/>
      <c r="C372" s="61"/>
      <c r="D372" s="61"/>
      <c r="E372" s="44"/>
      <c r="F372" s="57"/>
      <c r="G372" s="58"/>
      <c r="H372" s="45"/>
      <c r="I372" s="46"/>
      <c r="J372" s="44"/>
    </row>
    <row r="373" spans="2:10" ht="14.4" customHeight="1">
      <c r="B373" s="69"/>
      <c r="C373" s="61"/>
      <c r="D373" s="61"/>
      <c r="E373" s="44"/>
      <c r="F373" s="57"/>
      <c r="G373" s="58"/>
      <c r="H373" s="45"/>
      <c r="I373" s="46"/>
      <c r="J373" s="44"/>
    </row>
    <row r="374" spans="2:10" ht="14.4" customHeight="1">
      <c r="B374" s="69"/>
      <c r="C374" s="61"/>
      <c r="D374" s="61"/>
      <c r="E374" s="44"/>
      <c r="F374" s="57"/>
      <c r="G374" s="58"/>
      <c r="H374" s="45"/>
      <c r="I374" s="46"/>
      <c r="J374" s="44"/>
    </row>
    <row r="375" spans="2:10" ht="14.4" customHeight="1">
      <c r="B375" s="69"/>
      <c r="C375" s="61"/>
      <c r="D375" s="61"/>
      <c r="E375" s="44"/>
      <c r="F375" s="57"/>
      <c r="G375" s="58"/>
      <c r="H375" s="45"/>
      <c r="I375" s="46"/>
      <c r="J375" s="44"/>
    </row>
    <row r="376" spans="2:10" ht="14.4" customHeight="1">
      <c r="B376" s="69"/>
      <c r="C376" s="61"/>
      <c r="D376" s="61"/>
      <c r="E376" s="44"/>
      <c r="F376" s="57"/>
      <c r="G376" s="58"/>
      <c r="H376" s="45"/>
      <c r="I376" s="46"/>
      <c r="J376" s="44"/>
    </row>
    <row r="377" spans="2:10" ht="14.4" customHeight="1">
      <c r="B377" s="69"/>
      <c r="C377" s="61"/>
      <c r="D377" s="61"/>
      <c r="E377" s="44"/>
      <c r="F377" s="57"/>
      <c r="G377" s="58"/>
      <c r="H377" s="45"/>
      <c r="I377" s="46"/>
      <c r="J377" s="44"/>
    </row>
    <row r="378" spans="2:10" ht="14.4" customHeight="1">
      <c r="B378" s="69"/>
      <c r="C378" s="61"/>
      <c r="D378" s="61"/>
      <c r="E378" s="44"/>
      <c r="F378" s="57"/>
      <c r="G378" s="58"/>
      <c r="H378" s="45"/>
      <c r="I378" s="46"/>
      <c r="J378" s="44"/>
    </row>
    <row r="379" spans="2:10" ht="14.4" customHeight="1">
      <c r="B379" s="69"/>
      <c r="C379" s="61"/>
      <c r="D379" s="61"/>
      <c r="E379" s="44"/>
      <c r="F379" s="57"/>
      <c r="G379" s="58"/>
      <c r="H379" s="45"/>
      <c r="I379" s="46"/>
      <c r="J379" s="44"/>
    </row>
    <row r="380" spans="2:10" ht="14.4" customHeight="1">
      <c r="B380" s="69"/>
      <c r="C380" s="61"/>
      <c r="D380" s="61"/>
      <c r="E380" s="44"/>
      <c r="F380" s="57"/>
      <c r="G380" s="58"/>
      <c r="H380" s="45"/>
      <c r="I380" s="46"/>
      <c r="J380" s="44"/>
    </row>
    <row r="381" spans="2:10" ht="14.4" customHeight="1">
      <c r="B381" s="69"/>
      <c r="C381" s="61"/>
      <c r="D381" s="61"/>
      <c r="E381" s="44"/>
      <c r="F381" s="57"/>
      <c r="G381" s="58"/>
      <c r="H381" s="45"/>
      <c r="I381" s="46"/>
      <c r="J381" s="44"/>
    </row>
    <row r="382" spans="2:10" ht="14.4" customHeight="1">
      <c r="B382" s="69"/>
      <c r="C382" s="61"/>
      <c r="D382" s="61"/>
      <c r="E382" s="44"/>
      <c r="F382" s="57"/>
      <c r="G382" s="58"/>
      <c r="H382" s="45"/>
      <c r="I382" s="46"/>
      <c r="J382" s="44"/>
    </row>
    <row r="383" spans="2:10" ht="14.4" customHeight="1">
      <c r="B383" s="69"/>
      <c r="C383" s="61"/>
      <c r="D383" s="61"/>
      <c r="E383" s="44"/>
      <c r="F383" s="57"/>
      <c r="G383" s="58"/>
      <c r="H383" s="45"/>
      <c r="I383" s="46"/>
      <c r="J383" s="44"/>
    </row>
    <row r="384" spans="2:10" ht="14.4" customHeight="1">
      <c r="B384" s="69"/>
      <c r="C384" s="61"/>
      <c r="D384" s="61"/>
      <c r="E384" s="44"/>
      <c r="F384" s="57"/>
      <c r="G384" s="58"/>
      <c r="H384" s="45"/>
      <c r="I384" s="46"/>
      <c r="J384" s="44"/>
    </row>
    <row r="385" spans="2:10" ht="14.4" customHeight="1">
      <c r="B385" s="69"/>
      <c r="C385" s="61"/>
      <c r="D385" s="61"/>
      <c r="E385" s="44"/>
      <c r="F385" s="57"/>
      <c r="G385" s="58"/>
      <c r="H385" s="45"/>
      <c r="I385" s="46"/>
      <c r="J385" s="44"/>
    </row>
    <row r="386" spans="2:10" ht="14.4" customHeight="1">
      <c r="B386" s="69"/>
      <c r="C386" s="61"/>
      <c r="D386" s="61"/>
      <c r="E386" s="44"/>
      <c r="F386" s="57"/>
      <c r="G386" s="58"/>
      <c r="H386" s="45"/>
      <c r="I386" s="46"/>
      <c r="J386" s="44"/>
    </row>
    <row r="387" spans="2:10" ht="14.4" customHeight="1">
      <c r="B387" s="69"/>
      <c r="C387" s="61"/>
      <c r="D387" s="61"/>
      <c r="E387" s="44"/>
      <c r="F387" s="57"/>
      <c r="G387" s="58"/>
      <c r="H387" s="45"/>
      <c r="I387" s="46"/>
      <c r="J387" s="44"/>
    </row>
    <row r="388" spans="2:10" ht="14.4" customHeight="1">
      <c r="B388" s="69"/>
      <c r="C388" s="61"/>
      <c r="D388" s="61"/>
      <c r="E388" s="44"/>
      <c r="F388" s="57"/>
      <c r="G388" s="58"/>
      <c r="H388" s="45"/>
      <c r="I388" s="46"/>
      <c r="J388" s="44"/>
    </row>
    <row r="389" spans="2:10" ht="14.4" customHeight="1">
      <c r="B389" s="69"/>
      <c r="C389" s="61"/>
      <c r="D389" s="61"/>
      <c r="E389" s="44"/>
      <c r="F389" s="57"/>
      <c r="G389" s="58"/>
      <c r="H389" s="45"/>
      <c r="I389" s="46"/>
      <c r="J389" s="44"/>
    </row>
    <row r="390" spans="2:10" ht="14.4" customHeight="1">
      <c r="B390" s="69"/>
      <c r="C390" s="61"/>
      <c r="D390" s="61"/>
      <c r="E390" s="44"/>
      <c r="F390" s="57"/>
      <c r="G390" s="58"/>
      <c r="H390" s="45"/>
      <c r="I390" s="46"/>
      <c r="J390" s="44"/>
    </row>
    <row r="391" spans="2:10" ht="14.4" customHeight="1">
      <c r="B391" s="69"/>
      <c r="C391" s="61"/>
      <c r="D391" s="61"/>
      <c r="E391" s="44"/>
      <c r="F391" s="57"/>
      <c r="G391" s="58"/>
      <c r="H391" s="45"/>
      <c r="I391" s="46"/>
      <c r="J391" s="44"/>
    </row>
    <row r="392" spans="2:10" ht="14.4" customHeight="1">
      <c r="B392" s="69"/>
      <c r="C392" s="61"/>
      <c r="D392" s="61"/>
      <c r="E392" s="44"/>
      <c r="F392" s="57"/>
      <c r="G392" s="58"/>
      <c r="H392" s="45"/>
      <c r="I392" s="46"/>
      <c r="J392" s="44"/>
    </row>
    <row r="393" spans="2:10" ht="14.4" customHeight="1">
      <c r="B393" s="69"/>
      <c r="C393" s="61"/>
      <c r="D393" s="61"/>
      <c r="E393" s="44"/>
      <c r="F393" s="57"/>
      <c r="G393" s="58"/>
      <c r="H393" s="45"/>
      <c r="I393" s="46"/>
      <c r="J393" s="44"/>
    </row>
    <row r="394" spans="2:10" ht="14.4" customHeight="1">
      <c r="B394" s="69"/>
      <c r="C394" s="61"/>
      <c r="D394" s="61"/>
      <c r="E394" s="44"/>
      <c r="F394" s="57"/>
      <c r="G394" s="58"/>
      <c r="H394" s="45"/>
      <c r="I394" s="46"/>
      <c r="J394" s="44"/>
    </row>
    <row r="395" spans="2:10" ht="14.4" customHeight="1">
      <c r="B395" s="69"/>
      <c r="C395" s="61"/>
      <c r="D395" s="61"/>
      <c r="E395" s="44"/>
      <c r="F395" s="57"/>
      <c r="G395" s="58"/>
      <c r="H395" s="45"/>
      <c r="I395" s="46"/>
      <c r="J395" s="44"/>
    </row>
    <row r="396" spans="2:10" ht="14.4" customHeight="1">
      <c r="B396" s="69"/>
      <c r="C396" s="61"/>
      <c r="D396" s="61"/>
      <c r="E396" s="44"/>
      <c r="F396" s="57"/>
      <c r="G396" s="58"/>
      <c r="H396" s="45"/>
      <c r="I396" s="46"/>
      <c r="J396" s="44"/>
    </row>
    <row r="397" spans="2:10" ht="14.4" customHeight="1">
      <c r="B397" s="69"/>
      <c r="C397" s="61"/>
      <c r="D397" s="61"/>
      <c r="E397" s="44"/>
      <c r="F397" s="57"/>
      <c r="G397" s="58"/>
      <c r="H397" s="45"/>
      <c r="I397" s="46"/>
      <c r="J397" s="44"/>
    </row>
    <row r="398" spans="2:10" ht="14.4" customHeight="1">
      <c r="B398" s="69"/>
      <c r="C398" s="61"/>
      <c r="D398" s="61"/>
      <c r="E398" s="44"/>
      <c r="F398" s="57"/>
      <c r="G398" s="58"/>
      <c r="H398" s="45"/>
      <c r="I398" s="46"/>
      <c r="J398" s="44"/>
    </row>
    <row r="399" spans="2:10" ht="14.4" customHeight="1">
      <c r="B399" s="69"/>
      <c r="C399" s="61"/>
      <c r="D399" s="61"/>
      <c r="E399" s="44"/>
      <c r="F399" s="57"/>
      <c r="G399" s="58"/>
      <c r="H399" s="45"/>
      <c r="I399" s="46"/>
      <c r="J399" s="44"/>
    </row>
    <row r="400" spans="2:10" ht="14.4" customHeight="1">
      <c r="B400" s="69"/>
      <c r="C400" s="61"/>
      <c r="D400" s="61"/>
      <c r="E400" s="44"/>
      <c r="F400" s="57"/>
      <c r="G400" s="58"/>
      <c r="H400" s="45"/>
      <c r="I400" s="46"/>
      <c r="J400" s="44"/>
    </row>
    <row r="401" spans="2:10" ht="14.4" customHeight="1">
      <c r="B401" s="69"/>
      <c r="C401" s="61"/>
      <c r="D401" s="61"/>
      <c r="E401" s="44"/>
      <c r="F401" s="57"/>
      <c r="G401" s="58"/>
      <c r="H401" s="45"/>
      <c r="I401" s="46"/>
      <c r="J401" s="44"/>
    </row>
    <row r="402" spans="2:10" ht="14.4" customHeight="1">
      <c r="B402" s="69"/>
      <c r="C402" s="61"/>
      <c r="D402" s="61"/>
      <c r="E402" s="44"/>
      <c r="F402" s="57"/>
      <c r="G402" s="58"/>
      <c r="H402" s="45"/>
      <c r="I402" s="46"/>
      <c r="J402" s="44"/>
    </row>
    <row r="403" spans="2:10" ht="14.4" customHeight="1">
      <c r="B403" s="69"/>
      <c r="C403" s="61"/>
      <c r="D403" s="61"/>
      <c r="E403" s="44"/>
      <c r="F403" s="57"/>
      <c r="G403" s="58"/>
      <c r="H403" s="45"/>
      <c r="I403" s="46"/>
      <c r="J403" s="44"/>
    </row>
    <row r="404" spans="2:10" ht="14.4" customHeight="1">
      <c r="B404" s="69"/>
      <c r="C404" s="61"/>
      <c r="D404" s="61"/>
      <c r="E404" s="44"/>
      <c r="F404" s="57"/>
      <c r="G404" s="58"/>
      <c r="H404" s="45"/>
      <c r="I404" s="46"/>
      <c r="J404" s="44"/>
    </row>
    <row r="405" spans="2:10" ht="14.4" customHeight="1">
      <c r="B405" s="69"/>
      <c r="C405" s="61"/>
      <c r="D405" s="61"/>
      <c r="E405" s="44"/>
      <c r="F405" s="57"/>
      <c r="G405" s="58"/>
      <c r="H405" s="45"/>
      <c r="I405" s="46"/>
      <c r="J405" s="44"/>
    </row>
    <row r="406" spans="2:10" ht="14.4" customHeight="1">
      <c r="B406" s="69"/>
      <c r="C406" s="61"/>
      <c r="D406" s="61"/>
      <c r="E406" s="44"/>
      <c r="F406" s="57"/>
      <c r="G406" s="58"/>
      <c r="H406" s="45"/>
      <c r="I406" s="46"/>
      <c r="J406" s="44"/>
    </row>
    <row r="407" spans="2:10" ht="14.4" customHeight="1">
      <c r="B407" s="69"/>
      <c r="C407" s="61"/>
      <c r="D407" s="61"/>
      <c r="E407" s="44"/>
      <c r="F407" s="57"/>
      <c r="G407" s="58"/>
      <c r="H407" s="45"/>
      <c r="I407" s="46"/>
      <c r="J407" s="44"/>
    </row>
    <row r="408" spans="2:10" ht="14.4" customHeight="1">
      <c r="B408" s="69"/>
      <c r="C408" s="61"/>
      <c r="D408" s="61"/>
      <c r="E408" s="44"/>
      <c r="F408" s="57"/>
      <c r="G408" s="58"/>
      <c r="H408" s="45"/>
      <c r="I408" s="46"/>
      <c r="J408" s="44"/>
    </row>
    <row r="409" spans="2:10" ht="14.4" customHeight="1">
      <c r="B409" s="69"/>
      <c r="C409" s="61"/>
      <c r="D409" s="61"/>
      <c r="E409" s="44"/>
      <c r="F409" s="57"/>
      <c r="G409" s="58"/>
      <c r="H409" s="45"/>
      <c r="I409" s="46"/>
      <c r="J409" s="44"/>
    </row>
    <row r="410" spans="2:10" ht="14.4" customHeight="1">
      <c r="B410" s="69"/>
      <c r="C410" s="61"/>
      <c r="D410" s="61"/>
      <c r="E410" s="44"/>
      <c r="F410" s="57"/>
      <c r="G410" s="58"/>
      <c r="H410" s="45"/>
      <c r="I410" s="46"/>
      <c r="J410" s="44"/>
    </row>
    <row r="411" spans="2:10" ht="14.4" customHeight="1">
      <c r="B411" s="69"/>
      <c r="C411" s="61"/>
      <c r="D411" s="61"/>
      <c r="E411" s="44"/>
      <c r="F411" s="57"/>
      <c r="G411" s="58"/>
      <c r="H411" s="45"/>
      <c r="I411" s="46"/>
      <c r="J411" s="44"/>
    </row>
    <row r="412" spans="2:10" ht="14.4" customHeight="1">
      <c r="B412" s="69"/>
      <c r="C412" s="61"/>
      <c r="D412" s="61"/>
      <c r="E412" s="44"/>
      <c r="F412" s="57"/>
      <c r="G412" s="58"/>
      <c r="H412" s="45"/>
      <c r="I412" s="46"/>
      <c r="J412" s="44"/>
    </row>
    <row r="413" spans="2:10" ht="14.4" customHeight="1">
      <c r="B413" s="69"/>
      <c r="C413" s="61"/>
      <c r="D413" s="61"/>
      <c r="E413" s="44"/>
      <c r="F413" s="57"/>
      <c r="G413" s="58"/>
      <c r="H413" s="45"/>
      <c r="I413" s="46"/>
      <c r="J413" s="44"/>
    </row>
    <row r="414" spans="2:10" ht="14.4" customHeight="1">
      <c r="B414" s="69"/>
      <c r="C414" s="61"/>
      <c r="D414" s="61"/>
      <c r="E414" s="44"/>
      <c r="F414" s="57"/>
      <c r="G414" s="58"/>
      <c r="H414" s="45"/>
      <c r="I414" s="46"/>
      <c r="J414" s="44"/>
    </row>
    <row r="415" spans="2:10" ht="14.4" customHeight="1">
      <c r="B415" s="69"/>
      <c r="C415" s="61"/>
      <c r="D415" s="61"/>
      <c r="E415" s="44"/>
      <c r="F415" s="57"/>
      <c r="G415" s="58"/>
      <c r="H415" s="45"/>
      <c r="I415" s="46"/>
      <c r="J415" s="44"/>
    </row>
    <row r="416" spans="2:10" ht="14.4" customHeight="1">
      <c r="B416" s="69"/>
      <c r="C416" s="61"/>
      <c r="D416" s="61"/>
      <c r="E416" s="44"/>
      <c r="F416" s="57"/>
      <c r="G416" s="58"/>
      <c r="H416" s="45"/>
      <c r="I416" s="46"/>
      <c r="J416" s="44"/>
    </row>
    <row r="417" spans="2:10" ht="14.4" customHeight="1">
      <c r="B417" s="69"/>
      <c r="C417" s="61"/>
      <c r="D417" s="61"/>
      <c r="E417" s="44"/>
      <c r="F417" s="57"/>
      <c r="G417" s="58"/>
      <c r="H417" s="45"/>
      <c r="I417" s="46"/>
      <c r="J417" s="44"/>
    </row>
    <row r="418" spans="2:10" ht="14.4" customHeight="1">
      <c r="B418" s="69"/>
      <c r="C418" s="61"/>
      <c r="D418" s="61"/>
      <c r="E418" s="44"/>
      <c r="F418" s="57"/>
      <c r="G418" s="58"/>
      <c r="H418" s="45"/>
      <c r="I418" s="46"/>
      <c r="J418" s="44"/>
    </row>
    <row r="419" spans="2:10" ht="14.4" customHeight="1">
      <c r="B419" s="69"/>
      <c r="C419" s="61"/>
      <c r="D419" s="61"/>
      <c r="E419" s="44"/>
      <c r="F419" s="57"/>
      <c r="G419" s="58"/>
      <c r="H419" s="45"/>
      <c r="I419" s="46"/>
      <c r="J419" s="44"/>
    </row>
    <row r="420" spans="2:10" ht="14.4" customHeight="1">
      <c r="B420" s="69"/>
      <c r="C420" s="61"/>
      <c r="D420" s="61"/>
      <c r="E420" s="44"/>
      <c r="F420" s="57"/>
      <c r="G420" s="58"/>
      <c r="H420" s="45"/>
      <c r="I420" s="46"/>
      <c r="J420" s="44"/>
    </row>
    <row r="421" spans="2:10" ht="14.4" customHeight="1">
      <c r="B421" s="69"/>
      <c r="C421" s="61"/>
      <c r="D421" s="61"/>
      <c r="E421" s="44"/>
      <c r="F421" s="57"/>
      <c r="G421" s="58"/>
      <c r="H421" s="45"/>
      <c r="I421" s="46"/>
      <c r="J421" s="44"/>
    </row>
    <row r="422" spans="2:10" ht="14.4" customHeight="1">
      <c r="B422" s="69"/>
      <c r="C422" s="61"/>
      <c r="D422" s="61"/>
      <c r="E422" s="44"/>
      <c r="F422" s="57"/>
      <c r="G422" s="58"/>
      <c r="H422" s="45"/>
      <c r="I422" s="46"/>
      <c r="J422" s="44"/>
    </row>
    <row r="423" spans="2:10" ht="14.4" customHeight="1">
      <c r="B423" s="69"/>
      <c r="C423" s="61"/>
      <c r="D423" s="61"/>
      <c r="E423" s="44"/>
      <c r="F423" s="57"/>
      <c r="G423" s="58"/>
      <c r="H423" s="45"/>
      <c r="I423" s="46"/>
      <c r="J423" s="44"/>
    </row>
    <row r="424" spans="2:10" ht="14.4" customHeight="1">
      <c r="B424" s="69"/>
      <c r="C424" s="61"/>
      <c r="D424" s="61"/>
      <c r="E424" s="44"/>
      <c r="F424" s="57"/>
      <c r="G424" s="58"/>
      <c r="H424" s="45"/>
      <c r="I424" s="46"/>
      <c r="J424" s="44"/>
    </row>
    <row r="425" spans="2:10" ht="14.4" customHeight="1">
      <c r="B425" s="69"/>
      <c r="C425" s="61"/>
      <c r="D425" s="61"/>
      <c r="E425" s="44"/>
      <c r="F425" s="57"/>
      <c r="G425" s="58"/>
      <c r="H425" s="45"/>
      <c r="I425" s="46"/>
      <c r="J425" s="44"/>
    </row>
    <row r="426" spans="2:10" ht="14.4" customHeight="1">
      <c r="B426" s="69"/>
      <c r="C426" s="61"/>
      <c r="D426" s="61"/>
      <c r="E426" s="44"/>
      <c r="F426" s="57"/>
      <c r="G426" s="58"/>
      <c r="H426" s="45"/>
      <c r="I426" s="46"/>
      <c r="J426" s="44"/>
    </row>
    <row r="427" spans="2:10" ht="14.4" customHeight="1">
      <c r="B427" s="69"/>
      <c r="C427" s="61"/>
      <c r="D427" s="61"/>
      <c r="E427" s="44"/>
      <c r="F427" s="57"/>
      <c r="G427" s="58"/>
      <c r="H427" s="45"/>
      <c r="I427" s="46"/>
      <c r="J427" s="44"/>
    </row>
    <row r="428" spans="2:10" ht="14.4" customHeight="1">
      <c r="B428" s="69"/>
      <c r="C428" s="61"/>
      <c r="D428" s="61"/>
      <c r="E428" s="44"/>
      <c r="F428" s="57"/>
      <c r="G428" s="58"/>
      <c r="H428" s="45"/>
      <c r="I428" s="46"/>
      <c r="J428" s="44"/>
    </row>
    <row r="429" spans="2:10" ht="14.4" customHeight="1">
      <c r="B429" s="69"/>
      <c r="C429" s="61"/>
      <c r="D429" s="61"/>
      <c r="E429" s="44"/>
      <c r="F429" s="57"/>
      <c r="G429" s="58"/>
      <c r="H429" s="45"/>
      <c r="I429" s="46"/>
      <c r="J429" s="44"/>
    </row>
    <row r="430" spans="2:10" ht="14.4" customHeight="1">
      <c r="B430" s="69"/>
      <c r="C430" s="61"/>
      <c r="D430" s="61"/>
      <c r="E430" s="44"/>
      <c r="F430" s="57"/>
      <c r="G430" s="58"/>
      <c r="H430" s="45"/>
      <c r="I430" s="46"/>
      <c r="J430" s="44"/>
    </row>
    <row r="431" spans="2:10" ht="14.4" customHeight="1">
      <c r="B431" s="69"/>
      <c r="C431" s="61"/>
      <c r="D431" s="61"/>
      <c r="E431" s="44"/>
      <c r="F431" s="57"/>
      <c r="G431" s="58"/>
      <c r="H431" s="45"/>
      <c r="I431" s="46"/>
      <c r="J431" s="44"/>
    </row>
    <row r="432" spans="2:10" ht="14.4" customHeight="1">
      <c r="B432" s="69"/>
      <c r="C432" s="61"/>
      <c r="D432" s="61"/>
      <c r="E432" s="44"/>
      <c r="F432" s="57"/>
      <c r="G432" s="58"/>
      <c r="H432" s="45"/>
      <c r="I432" s="46"/>
      <c r="J432" s="44"/>
    </row>
    <row r="433" spans="2:10" ht="14.4" customHeight="1">
      <c r="B433" s="69"/>
      <c r="C433" s="61"/>
      <c r="D433" s="61"/>
      <c r="E433" s="44"/>
      <c r="F433" s="57"/>
      <c r="G433" s="58"/>
      <c r="H433" s="45"/>
      <c r="I433" s="46"/>
      <c r="J433" s="44"/>
    </row>
    <row r="434" spans="2:10" ht="14.4" customHeight="1">
      <c r="B434" s="69"/>
      <c r="C434" s="61"/>
      <c r="D434" s="61"/>
      <c r="E434" s="44"/>
      <c r="F434" s="57"/>
      <c r="G434" s="58"/>
      <c r="H434" s="45"/>
      <c r="I434" s="46"/>
      <c r="J434" s="44"/>
    </row>
    <row r="435" spans="2:10" ht="14.4" customHeight="1">
      <c r="B435" s="69"/>
      <c r="C435" s="61"/>
      <c r="D435" s="61"/>
      <c r="E435" s="44"/>
      <c r="F435" s="57"/>
      <c r="G435" s="58"/>
      <c r="H435" s="45"/>
      <c r="I435" s="46"/>
      <c r="J435" s="44"/>
    </row>
    <row r="436" spans="2:10" ht="14.4" customHeight="1">
      <c r="B436" s="69"/>
      <c r="C436" s="61"/>
      <c r="D436" s="61"/>
      <c r="E436" s="44"/>
      <c r="F436" s="57"/>
      <c r="G436" s="58"/>
      <c r="H436" s="45"/>
      <c r="I436" s="46"/>
      <c r="J436" s="44"/>
    </row>
    <row r="437" spans="2:10" ht="14.4" customHeight="1">
      <c r="B437" s="69"/>
      <c r="C437" s="61"/>
      <c r="D437" s="61"/>
      <c r="E437" s="44"/>
      <c r="F437" s="57"/>
      <c r="G437" s="58"/>
      <c r="H437" s="45"/>
      <c r="I437" s="46"/>
      <c r="J437" s="44"/>
    </row>
    <row r="438" spans="2:10" ht="14.4" customHeight="1">
      <c r="B438" s="69"/>
      <c r="C438" s="61"/>
      <c r="D438" s="61"/>
      <c r="E438" s="44"/>
      <c r="F438" s="57"/>
      <c r="G438" s="58"/>
      <c r="H438" s="45"/>
      <c r="I438" s="46"/>
      <c r="J438" s="44"/>
    </row>
    <row r="439" spans="2:10" ht="14.4" customHeight="1">
      <c r="B439" s="69"/>
      <c r="C439" s="61"/>
      <c r="D439" s="61"/>
      <c r="E439" s="44"/>
      <c r="F439" s="57"/>
      <c r="G439" s="58"/>
      <c r="H439" s="45"/>
      <c r="I439" s="46"/>
      <c r="J439" s="44"/>
    </row>
    <row r="440" spans="2:10" ht="14.4" customHeight="1">
      <c r="B440" s="69"/>
      <c r="C440" s="61"/>
      <c r="D440" s="61"/>
      <c r="E440" s="44"/>
      <c r="F440" s="57"/>
      <c r="G440" s="58"/>
      <c r="H440" s="45"/>
      <c r="I440" s="46"/>
      <c r="J440" s="44"/>
    </row>
    <row r="441" spans="2:10" ht="14.4" customHeight="1">
      <c r="B441" s="69"/>
      <c r="C441" s="61"/>
      <c r="D441" s="61"/>
      <c r="E441" s="44"/>
      <c r="F441" s="57"/>
      <c r="G441" s="58"/>
      <c r="H441" s="45"/>
      <c r="I441" s="46"/>
      <c r="J441" s="44"/>
    </row>
    <row r="442" spans="2:10" ht="14.4" customHeight="1">
      <c r="B442" s="69"/>
      <c r="C442" s="61"/>
      <c r="D442" s="61"/>
      <c r="E442" s="44"/>
      <c r="F442" s="57"/>
      <c r="G442" s="58"/>
      <c r="H442" s="45"/>
      <c r="I442" s="46"/>
      <c r="J442" s="44"/>
    </row>
    <row r="443" spans="2:10" ht="14.4" customHeight="1">
      <c r="B443" s="69"/>
      <c r="C443" s="61"/>
      <c r="D443" s="61"/>
      <c r="E443" s="44"/>
      <c r="F443" s="57"/>
      <c r="G443" s="58"/>
      <c r="H443" s="45"/>
      <c r="I443" s="46"/>
      <c r="J443" s="44"/>
    </row>
    <row r="444" spans="2:10" ht="14.4" customHeight="1">
      <c r="B444" s="69"/>
      <c r="C444" s="61"/>
      <c r="D444" s="61"/>
      <c r="E444" s="44"/>
      <c r="F444" s="57"/>
      <c r="G444" s="58"/>
      <c r="H444" s="45"/>
      <c r="I444" s="46"/>
      <c r="J444" s="44"/>
    </row>
    <row r="445" spans="2:10" ht="14.4" customHeight="1">
      <c r="B445" s="69"/>
      <c r="C445" s="61"/>
      <c r="D445" s="61"/>
      <c r="E445" s="44"/>
      <c r="F445" s="57"/>
      <c r="G445" s="58"/>
      <c r="H445" s="45"/>
      <c r="I445" s="46"/>
      <c r="J445" s="44"/>
    </row>
    <row r="446" spans="2:10" ht="14.4" customHeight="1">
      <c r="B446" s="69"/>
      <c r="C446" s="61"/>
      <c r="D446" s="61"/>
      <c r="E446" s="44"/>
      <c r="F446" s="57"/>
      <c r="G446" s="58"/>
      <c r="H446" s="45"/>
      <c r="I446" s="46"/>
      <c r="J446" s="44"/>
    </row>
    <row r="447" spans="2:10" ht="14.4" customHeight="1">
      <c r="B447" s="69"/>
      <c r="C447" s="61"/>
      <c r="D447" s="61"/>
      <c r="E447" s="44"/>
      <c r="F447" s="57"/>
      <c r="G447" s="58"/>
      <c r="H447" s="45"/>
      <c r="I447" s="46"/>
      <c r="J447" s="44"/>
    </row>
    <row r="448" spans="2:10" ht="14.4" customHeight="1">
      <c r="B448" s="69"/>
      <c r="C448" s="61"/>
      <c r="D448" s="61"/>
      <c r="E448" s="44"/>
      <c r="F448" s="57"/>
      <c r="G448" s="58"/>
      <c r="H448" s="45"/>
      <c r="I448" s="46"/>
      <c r="J448" s="44"/>
    </row>
    <row r="449" spans="2:10" ht="14.4" customHeight="1">
      <c r="B449" s="69"/>
      <c r="C449" s="61"/>
      <c r="D449" s="61"/>
      <c r="E449" s="44"/>
      <c r="F449" s="57"/>
      <c r="G449" s="58"/>
      <c r="H449" s="45"/>
      <c r="I449" s="46"/>
      <c r="J449" s="44"/>
    </row>
    <row r="450" spans="2:10" ht="14.4" customHeight="1">
      <c r="B450" s="69"/>
      <c r="C450" s="61"/>
      <c r="D450" s="61"/>
      <c r="E450" s="44"/>
      <c r="F450" s="57"/>
      <c r="G450" s="58"/>
      <c r="H450" s="45"/>
      <c r="I450" s="46"/>
      <c r="J450" s="44"/>
    </row>
    <row r="451" spans="2:10" ht="14.4" customHeight="1">
      <c r="B451" s="69"/>
      <c r="C451" s="61"/>
      <c r="D451" s="61"/>
      <c r="E451" s="44"/>
      <c r="F451" s="57"/>
      <c r="G451" s="58"/>
      <c r="H451" s="45"/>
      <c r="I451" s="46"/>
      <c r="J451" s="44"/>
    </row>
    <row r="452" spans="2:10" ht="14.4" customHeight="1">
      <c r="B452" s="69"/>
      <c r="C452" s="61"/>
      <c r="D452" s="61"/>
      <c r="E452" s="44"/>
      <c r="F452" s="57"/>
      <c r="G452" s="58"/>
      <c r="H452" s="45"/>
      <c r="I452" s="46"/>
      <c r="J452" s="44"/>
    </row>
    <row r="453" spans="2:10" ht="14.4" customHeight="1">
      <c r="B453" s="69"/>
      <c r="C453" s="61"/>
      <c r="D453" s="61"/>
      <c r="E453" s="44"/>
      <c r="F453" s="57"/>
      <c r="G453" s="58"/>
      <c r="H453" s="45"/>
      <c r="I453" s="46"/>
      <c r="J453" s="44"/>
    </row>
    <row r="454" spans="2:10" ht="14.4" customHeight="1">
      <c r="B454" s="69"/>
      <c r="C454" s="61"/>
      <c r="D454" s="61"/>
      <c r="E454" s="44"/>
      <c r="F454" s="57"/>
      <c r="G454" s="58"/>
      <c r="H454" s="45"/>
      <c r="I454" s="46"/>
      <c r="J454" s="44"/>
    </row>
    <row r="455" spans="2:10" ht="14.4" customHeight="1">
      <c r="B455" s="69"/>
      <c r="C455" s="61"/>
      <c r="D455" s="61"/>
      <c r="E455" s="44"/>
      <c r="F455" s="57"/>
      <c r="G455" s="58"/>
      <c r="H455" s="45"/>
      <c r="I455" s="46"/>
      <c r="J455" s="44"/>
    </row>
    <row r="456" spans="2:10" ht="14.4" customHeight="1">
      <c r="B456" s="69"/>
      <c r="C456" s="61"/>
      <c r="D456" s="61"/>
      <c r="E456" s="44"/>
      <c r="F456" s="57"/>
      <c r="G456" s="58"/>
      <c r="H456" s="45"/>
      <c r="I456" s="46"/>
      <c r="J456" s="44"/>
    </row>
    <row r="457" spans="2:10" ht="14.4" customHeight="1">
      <c r="B457" s="69"/>
      <c r="C457" s="61"/>
      <c r="D457" s="61"/>
      <c r="E457" s="44"/>
      <c r="F457" s="57"/>
      <c r="G457" s="58"/>
      <c r="H457" s="45"/>
      <c r="I457" s="46"/>
      <c r="J457" s="44"/>
    </row>
    <row r="458" spans="2:10" ht="14.4" customHeight="1">
      <c r="B458" s="69"/>
      <c r="C458" s="61"/>
      <c r="D458" s="61"/>
      <c r="E458" s="44"/>
      <c r="F458" s="57"/>
      <c r="G458" s="58"/>
      <c r="H458" s="45"/>
      <c r="I458" s="46"/>
      <c r="J458" s="44"/>
    </row>
    <row r="459" spans="2:10" ht="14.4" customHeight="1">
      <c r="B459" s="69"/>
      <c r="C459" s="61"/>
      <c r="D459" s="61"/>
      <c r="E459" s="44"/>
      <c r="F459" s="57"/>
      <c r="G459" s="58"/>
      <c r="H459" s="45"/>
      <c r="I459" s="46"/>
      <c r="J459" s="44"/>
    </row>
    <row r="460" spans="2:10" ht="14.4" customHeight="1">
      <c r="B460" s="69"/>
      <c r="C460" s="61"/>
      <c r="D460" s="61"/>
      <c r="E460" s="44"/>
      <c r="F460" s="57"/>
      <c r="G460" s="58"/>
      <c r="H460" s="45"/>
      <c r="I460" s="46"/>
      <c r="J460" s="44"/>
    </row>
    <row r="461" spans="2:10" ht="14.4" customHeight="1">
      <c r="B461" s="69"/>
      <c r="C461" s="61"/>
      <c r="D461" s="61"/>
      <c r="E461" s="44"/>
      <c r="F461" s="57"/>
      <c r="G461" s="58"/>
      <c r="H461" s="45"/>
      <c r="I461" s="46"/>
      <c r="J461" s="44"/>
    </row>
    <row r="462" spans="2:10" ht="14.4" customHeight="1">
      <c r="B462" s="69"/>
      <c r="C462" s="61"/>
      <c r="D462" s="61"/>
      <c r="E462" s="44"/>
      <c r="F462" s="57"/>
      <c r="G462" s="58"/>
      <c r="H462" s="45"/>
      <c r="I462" s="46"/>
      <c r="J462" s="44"/>
    </row>
    <row r="463" spans="2:10" ht="14.4" customHeight="1">
      <c r="B463" s="69"/>
      <c r="C463" s="61"/>
      <c r="D463" s="61"/>
      <c r="E463" s="44"/>
      <c r="F463" s="57"/>
      <c r="G463" s="58"/>
      <c r="H463" s="45"/>
      <c r="I463" s="46"/>
      <c r="J463" s="44"/>
    </row>
    <row r="464" spans="2:10" ht="14.4" customHeight="1">
      <c r="B464" s="69"/>
      <c r="C464" s="61"/>
      <c r="D464" s="61"/>
      <c r="E464" s="44"/>
      <c r="F464" s="57"/>
      <c r="G464" s="58"/>
      <c r="H464" s="45"/>
      <c r="I464" s="46"/>
      <c r="J464" s="44"/>
    </row>
    <row r="465" spans="2:10" ht="14.4" customHeight="1">
      <c r="B465" s="69"/>
      <c r="C465" s="61"/>
      <c r="D465" s="61"/>
      <c r="E465" s="44"/>
      <c r="F465" s="57"/>
      <c r="G465" s="58"/>
      <c r="H465" s="45"/>
      <c r="I465" s="46"/>
      <c r="J465" s="44"/>
    </row>
    <row r="466" spans="2:10" ht="14.4" customHeight="1">
      <c r="B466" s="69"/>
      <c r="C466" s="61"/>
      <c r="D466" s="61"/>
      <c r="E466" s="44"/>
      <c r="F466" s="57"/>
      <c r="G466" s="58"/>
      <c r="H466" s="45"/>
      <c r="I466" s="46"/>
      <c r="J466" s="44"/>
    </row>
    <row r="467" spans="2:10" ht="14.4" customHeight="1">
      <c r="B467" s="69"/>
      <c r="C467" s="61"/>
      <c r="D467" s="61"/>
      <c r="E467" s="44"/>
      <c r="F467" s="57"/>
      <c r="G467" s="58"/>
      <c r="H467" s="45"/>
      <c r="I467" s="46"/>
      <c r="J467" s="44"/>
    </row>
    <row r="468" spans="2:10" ht="14.4" customHeight="1">
      <c r="B468" s="69"/>
      <c r="C468" s="61"/>
      <c r="D468" s="61"/>
      <c r="E468" s="44"/>
      <c r="F468" s="57"/>
      <c r="G468" s="58"/>
      <c r="H468" s="45"/>
      <c r="I468" s="46"/>
      <c r="J468" s="44"/>
    </row>
    <row r="469" spans="2:10" ht="14.4" customHeight="1">
      <c r="B469" s="69"/>
      <c r="C469" s="61"/>
      <c r="D469" s="61"/>
      <c r="E469" s="44"/>
      <c r="F469" s="57"/>
      <c r="G469" s="58"/>
      <c r="H469" s="45"/>
      <c r="I469" s="46"/>
      <c r="J469" s="44"/>
    </row>
    <row r="470" spans="2:10" ht="14.4" customHeight="1">
      <c r="B470" s="69"/>
      <c r="C470" s="61"/>
      <c r="D470" s="61"/>
      <c r="E470" s="44"/>
      <c r="F470" s="57"/>
      <c r="G470" s="58"/>
      <c r="H470" s="45"/>
      <c r="I470" s="46"/>
      <c r="J470" s="44"/>
    </row>
    <row r="471" spans="2:10" ht="14.4" customHeight="1">
      <c r="B471" s="69"/>
      <c r="C471" s="61"/>
      <c r="D471" s="61"/>
      <c r="E471" s="44"/>
      <c r="F471" s="57"/>
      <c r="G471" s="58"/>
      <c r="H471" s="45"/>
      <c r="I471" s="46"/>
      <c r="J471" s="44"/>
    </row>
    <row r="472" spans="2:10" ht="14.4" customHeight="1">
      <c r="B472" s="69"/>
      <c r="C472" s="61"/>
      <c r="D472" s="61"/>
      <c r="E472" s="44"/>
      <c r="F472" s="57"/>
      <c r="G472" s="58"/>
      <c r="H472" s="45"/>
      <c r="I472" s="46"/>
      <c r="J472" s="44"/>
    </row>
    <row r="473" spans="2:10" ht="14.4" customHeight="1">
      <c r="B473" s="69"/>
      <c r="C473" s="61"/>
      <c r="D473" s="61"/>
      <c r="E473" s="44"/>
      <c r="F473" s="57"/>
      <c r="G473" s="58"/>
      <c r="H473" s="45"/>
      <c r="I473" s="46"/>
      <c r="J473" s="44"/>
    </row>
    <row r="474" spans="2:10" ht="14.4" customHeight="1">
      <c r="B474" s="69"/>
      <c r="C474" s="61"/>
      <c r="D474" s="61"/>
      <c r="E474" s="44"/>
      <c r="F474" s="57"/>
      <c r="G474" s="58"/>
      <c r="H474" s="45"/>
      <c r="I474" s="46"/>
      <c r="J474" s="44"/>
    </row>
    <row r="475" spans="2:10" ht="14.4" customHeight="1">
      <c r="B475" s="69"/>
      <c r="C475" s="61"/>
      <c r="D475" s="61"/>
      <c r="E475" s="44"/>
      <c r="F475" s="57"/>
      <c r="G475" s="58"/>
      <c r="H475" s="45"/>
      <c r="I475" s="46"/>
      <c r="J475" s="44"/>
    </row>
    <row r="476" spans="2:10" ht="14.4" customHeight="1">
      <c r="B476" s="69"/>
      <c r="C476" s="61"/>
      <c r="D476" s="61"/>
      <c r="E476" s="44"/>
      <c r="F476" s="57"/>
      <c r="G476" s="58"/>
      <c r="H476" s="45"/>
      <c r="I476" s="46"/>
      <c r="J476" s="44"/>
    </row>
    <row r="477" spans="2:10" ht="14.4" customHeight="1">
      <c r="B477" s="69"/>
      <c r="C477" s="61"/>
      <c r="D477" s="61"/>
      <c r="E477" s="44"/>
      <c r="F477" s="57"/>
      <c r="G477" s="58"/>
      <c r="H477" s="45"/>
      <c r="I477" s="46"/>
      <c r="J477" s="44"/>
    </row>
    <row r="478" spans="2:10" ht="14.4" customHeight="1">
      <c r="B478" s="69"/>
      <c r="C478" s="61"/>
      <c r="D478" s="61"/>
      <c r="E478" s="44"/>
      <c r="F478" s="57"/>
      <c r="G478" s="58"/>
      <c r="H478" s="45"/>
      <c r="I478" s="46"/>
      <c r="J478" s="44"/>
    </row>
    <row r="479" spans="2:10" ht="14.4" customHeight="1">
      <c r="B479" s="69"/>
      <c r="C479" s="61"/>
      <c r="D479" s="61"/>
      <c r="E479" s="44"/>
      <c r="F479" s="57"/>
      <c r="G479" s="58"/>
      <c r="H479" s="45"/>
      <c r="I479" s="46"/>
      <c r="J479" s="44"/>
    </row>
    <row r="480" spans="2:10" ht="14.4" customHeight="1">
      <c r="B480" s="69"/>
      <c r="C480" s="61"/>
      <c r="D480" s="61"/>
      <c r="E480" s="44"/>
      <c r="F480" s="57"/>
      <c r="G480" s="58"/>
      <c r="H480" s="45"/>
      <c r="I480" s="46"/>
      <c r="J480" s="44"/>
    </row>
    <row r="481" spans="2:10" ht="14.4" customHeight="1">
      <c r="B481" s="69"/>
      <c r="C481" s="61"/>
      <c r="D481" s="61"/>
      <c r="E481" s="44"/>
      <c r="F481" s="57"/>
      <c r="G481" s="58"/>
      <c r="H481" s="45"/>
      <c r="I481" s="46"/>
      <c r="J481" s="44"/>
    </row>
    <row r="482" spans="2:10" ht="14.4" customHeight="1">
      <c r="B482" s="69"/>
      <c r="C482" s="61"/>
      <c r="D482" s="61"/>
      <c r="E482" s="44"/>
      <c r="F482" s="57"/>
      <c r="G482" s="58"/>
      <c r="H482" s="45"/>
      <c r="I482" s="46"/>
      <c r="J482" s="44"/>
    </row>
    <row r="483" spans="2:10" ht="14.4" customHeight="1">
      <c r="B483" s="69"/>
      <c r="C483" s="61"/>
      <c r="D483" s="61"/>
      <c r="E483" s="44"/>
      <c r="F483" s="57"/>
      <c r="G483" s="58"/>
      <c r="H483" s="45"/>
      <c r="I483" s="46"/>
      <c r="J483" s="44"/>
    </row>
    <row r="484" spans="2:10" ht="14.4" customHeight="1">
      <c r="B484" s="69"/>
      <c r="C484" s="61"/>
      <c r="D484" s="61"/>
      <c r="E484" s="44"/>
      <c r="F484" s="57"/>
      <c r="G484" s="58"/>
      <c r="H484" s="45"/>
      <c r="I484" s="46"/>
      <c r="J484" s="44"/>
    </row>
    <row r="485" spans="2:10" ht="14.4" customHeight="1">
      <c r="B485" s="69"/>
      <c r="C485" s="61"/>
      <c r="D485" s="61"/>
      <c r="E485" s="44"/>
      <c r="F485" s="57"/>
      <c r="G485" s="58"/>
      <c r="H485" s="45"/>
      <c r="I485" s="46"/>
      <c r="J485" s="44"/>
    </row>
    <row r="486" spans="2:10" ht="14.4" customHeight="1">
      <c r="B486" s="69"/>
      <c r="C486" s="61"/>
      <c r="D486" s="61"/>
      <c r="E486" s="44"/>
      <c r="F486" s="57"/>
      <c r="G486" s="58"/>
      <c r="H486" s="45"/>
      <c r="I486" s="46"/>
      <c r="J486" s="44"/>
    </row>
    <row r="487" spans="2:10" ht="14.4" customHeight="1">
      <c r="B487" s="69"/>
      <c r="C487" s="61"/>
      <c r="D487" s="61"/>
      <c r="E487" s="44"/>
      <c r="F487" s="57"/>
      <c r="G487" s="58"/>
      <c r="H487" s="45"/>
      <c r="I487" s="46"/>
      <c r="J487" s="44"/>
    </row>
    <row r="488" spans="2:10" ht="14.4" customHeight="1">
      <c r="B488" s="69"/>
      <c r="C488" s="61"/>
      <c r="D488" s="61"/>
      <c r="E488" s="44"/>
      <c r="F488" s="57"/>
      <c r="G488" s="58"/>
      <c r="H488" s="45"/>
      <c r="I488" s="46"/>
      <c r="J488" s="44"/>
    </row>
    <row r="489" spans="2:10" ht="14.4" customHeight="1">
      <c r="B489" s="69"/>
      <c r="C489" s="61"/>
      <c r="D489" s="61"/>
      <c r="E489" s="44"/>
      <c r="F489" s="57"/>
      <c r="G489" s="58"/>
      <c r="H489" s="45"/>
      <c r="I489" s="46"/>
      <c r="J489" s="44"/>
    </row>
    <row r="490" spans="2:10" ht="14.4" customHeight="1">
      <c r="B490" s="69"/>
      <c r="C490" s="61"/>
      <c r="D490" s="61"/>
      <c r="E490" s="44"/>
      <c r="F490" s="57"/>
      <c r="G490" s="58"/>
      <c r="H490" s="45"/>
      <c r="I490" s="46"/>
      <c r="J490" s="44"/>
    </row>
    <row r="491" spans="2:10" ht="14.4" customHeight="1">
      <c r="B491" s="69"/>
      <c r="C491" s="61"/>
      <c r="D491" s="61"/>
      <c r="E491" s="44"/>
      <c r="F491" s="57"/>
      <c r="G491" s="58"/>
      <c r="H491" s="45"/>
      <c r="I491" s="46"/>
      <c r="J491" s="44"/>
    </row>
    <row r="492" spans="2:10" ht="14.4" customHeight="1">
      <c r="B492" s="69"/>
      <c r="C492" s="61"/>
      <c r="D492" s="61"/>
      <c r="E492" s="44"/>
      <c r="F492" s="57"/>
      <c r="G492" s="58"/>
      <c r="H492" s="45"/>
      <c r="I492" s="46"/>
      <c r="J492" s="44"/>
    </row>
    <row r="493" spans="2:10" ht="14.4" customHeight="1">
      <c r="B493" s="69"/>
      <c r="C493" s="61"/>
      <c r="D493" s="61"/>
      <c r="E493" s="44"/>
      <c r="F493" s="57"/>
      <c r="G493" s="58"/>
      <c r="H493" s="45"/>
      <c r="I493" s="46"/>
      <c r="J493" s="44"/>
    </row>
    <row r="494" spans="2:10" ht="14.4" customHeight="1">
      <c r="B494" s="69"/>
      <c r="C494" s="61"/>
      <c r="D494" s="61"/>
      <c r="E494" s="44"/>
      <c r="F494" s="57"/>
      <c r="G494" s="58"/>
      <c r="H494" s="45"/>
      <c r="I494" s="46"/>
      <c r="J494" s="44"/>
    </row>
    <row r="495" spans="2:10" ht="14.4" customHeight="1">
      <c r="B495" s="69"/>
      <c r="C495" s="61"/>
      <c r="D495" s="61"/>
      <c r="E495" s="44"/>
      <c r="F495" s="57"/>
      <c r="G495" s="58"/>
      <c r="H495" s="45"/>
      <c r="I495" s="46"/>
      <c r="J495" s="44"/>
    </row>
    <row r="496" spans="2:10" ht="14.4" customHeight="1">
      <c r="B496" s="69"/>
      <c r="C496" s="61"/>
      <c r="D496" s="61"/>
      <c r="E496" s="44"/>
      <c r="F496" s="57"/>
      <c r="G496" s="58"/>
      <c r="H496" s="45"/>
      <c r="I496" s="46"/>
      <c r="J496" s="44"/>
    </row>
    <row r="497" spans="2:10" ht="14.4" customHeight="1">
      <c r="B497" s="69"/>
      <c r="C497" s="61"/>
      <c r="D497" s="61"/>
      <c r="E497" s="44"/>
      <c r="F497" s="57"/>
      <c r="G497" s="58"/>
      <c r="H497" s="45"/>
      <c r="I497" s="46"/>
      <c r="J497" s="44"/>
    </row>
    <row r="498" spans="2:10" ht="14.4" customHeight="1">
      <c r="B498" s="69"/>
      <c r="C498" s="61"/>
      <c r="D498" s="61"/>
      <c r="E498" s="44"/>
      <c r="F498" s="57"/>
      <c r="G498" s="58"/>
      <c r="H498" s="45"/>
      <c r="I498" s="46"/>
      <c r="J498" s="44"/>
    </row>
    <row r="499" spans="2:10" ht="14.4" customHeight="1">
      <c r="B499" s="69"/>
      <c r="C499" s="61"/>
      <c r="D499" s="61"/>
      <c r="E499" s="44"/>
      <c r="F499" s="57"/>
      <c r="G499" s="58"/>
      <c r="H499" s="45"/>
      <c r="I499" s="46"/>
      <c r="J499" s="44"/>
    </row>
    <row r="500" spans="2:10" ht="14.4" customHeight="1">
      <c r="B500" s="69"/>
      <c r="C500" s="61"/>
      <c r="D500" s="61"/>
      <c r="E500" s="44"/>
      <c r="F500" s="57"/>
      <c r="G500" s="58"/>
      <c r="H500" s="45"/>
      <c r="I500" s="46"/>
      <c r="J500" s="44"/>
    </row>
    <row r="501" spans="2:10" ht="14.4" customHeight="1">
      <c r="B501" s="69"/>
      <c r="C501" s="61"/>
      <c r="D501" s="61"/>
      <c r="E501" s="44"/>
      <c r="F501" s="57"/>
      <c r="G501" s="58"/>
      <c r="H501" s="45"/>
      <c r="I501" s="46"/>
      <c r="J501" s="44"/>
    </row>
    <row r="502" spans="2:10" ht="14.4" customHeight="1">
      <c r="B502" s="69"/>
      <c r="C502" s="61"/>
      <c r="D502" s="61"/>
      <c r="E502" s="44"/>
      <c r="F502" s="57"/>
      <c r="G502" s="58"/>
      <c r="H502" s="45"/>
      <c r="I502" s="46"/>
      <c r="J502" s="44"/>
    </row>
    <row r="503" spans="2:10" ht="14.4" customHeight="1">
      <c r="B503" s="69"/>
      <c r="C503" s="61"/>
      <c r="D503" s="61"/>
      <c r="E503" s="44"/>
      <c r="F503" s="57"/>
      <c r="G503" s="58"/>
      <c r="H503" s="45"/>
      <c r="I503" s="46"/>
      <c r="J503" s="44"/>
    </row>
    <row r="504" spans="2:10" ht="14.4" customHeight="1">
      <c r="B504" s="69"/>
      <c r="C504" s="61"/>
      <c r="D504" s="61"/>
      <c r="E504" s="44"/>
      <c r="F504" s="57"/>
      <c r="G504" s="58"/>
      <c r="H504" s="45"/>
      <c r="I504" s="46"/>
      <c r="J504" s="44"/>
    </row>
    <row r="505" spans="2:10" ht="14.4" customHeight="1">
      <c r="B505" s="69"/>
      <c r="C505" s="61"/>
      <c r="D505" s="61"/>
      <c r="E505" s="44"/>
      <c r="F505" s="57"/>
      <c r="G505" s="58"/>
      <c r="H505" s="45"/>
      <c r="I505" s="46"/>
      <c r="J505" s="44"/>
    </row>
    <row r="506" spans="2:10" ht="14.4" customHeight="1">
      <c r="B506" s="69"/>
      <c r="C506" s="61"/>
      <c r="D506" s="61"/>
      <c r="E506" s="44"/>
      <c r="F506" s="57"/>
      <c r="G506" s="58"/>
      <c r="H506" s="45"/>
      <c r="I506" s="46"/>
      <c r="J506" s="44"/>
    </row>
    <row r="507" spans="2:10" ht="14.4" customHeight="1">
      <c r="B507" s="69"/>
      <c r="C507" s="61"/>
      <c r="D507" s="61"/>
      <c r="E507" s="44"/>
      <c r="F507" s="57"/>
      <c r="G507" s="58"/>
      <c r="H507" s="45"/>
      <c r="I507" s="46"/>
      <c r="J507" s="44"/>
    </row>
    <row r="508" spans="2:10" ht="14.4" customHeight="1">
      <c r="B508" s="69"/>
      <c r="C508" s="61"/>
      <c r="D508" s="61"/>
      <c r="E508" s="44"/>
      <c r="F508" s="57"/>
      <c r="G508" s="58"/>
      <c r="H508" s="45"/>
      <c r="I508" s="46"/>
      <c r="J508" s="44"/>
    </row>
    <row r="509" spans="2:10" ht="14.4" customHeight="1">
      <c r="B509" s="69"/>
      <c r="C509" s="61"/>
      <c r="D509" s="61"/>
      <c r="E509" s="44"/>
      <c r="F509" s="57"/>
      <c r="G509" s="58"/>
      <c r="H509" s="45"/>
      <c r="I509" s="46"/>
      <c r="J509" s="44"/>
    </row>
    <row r="510" spans="2:10" ht="14.4" customHeight="1">
      <c r="B510" s="69"/>
      <c r="C510" s="61"/>
      <c r="D510" s="61"/>
      <c r="E510" s="44"/>
      <c r="F510" s="57"/>
      <c r="G510" s="58"/>
      <c r="H510" s="45"/>
      <c r="I510" s="46"/>
      <c r="J510" s="44"/>
    </row>
    <row r="511" spans="2:10" ht="14.4" customHeight="1">
      <c r="B511" s="69"/>
      <c r="C511" s="61"/>
      <c r="D511" s="61"/>
      <c r="E511" s="44"/>
      <c r="F511" s="57"/>
      <c r="G511" s="58"/>
      <c r="H511" s="45"/>
      <c r="I511" s="46"/>
      <c r="J511" s="44"/>
    </row>
    <row r="512" spans="2:10" ht="14.4" customHeight="1">
      <c r="B512" s="69"/>
      <c r="C512" s="61"/>
      <c r="D512" s="61"/>
      <c r="E512" s="44"/>
      <c r="F512" s="57"/>
      <c r="G512" s="58"/>
      <c r="H512" s="45"/>
      <c r="I512" s="46"/>
      <c r="J512" s="44"/>
    </row>
    <row r="513" spans="2:10" ht="14.4" customHeight="1">
      <c r="B513" s="69"/>
      <c r="C513" s="61"/>
      <c r="D513" s="61"/>
      <c r="E513" s="44"/>
      <c r="F513" s="57"/>
      <c r="G513" s="58"/>
      <c r="H513" s="45"/>
      <c r="I513" s="46"/>
      <c r="J513" s="44"/>
    </row>
    <row r="514" spans="2:10" ht="14.4" customHeight="1">
      <c r="B514" s="69"/>
      <c r="C514" s="61"/>
      <c r="D514" s="61"/>
      <c r="E514" s="44"/>
      <c r="F514" s="57"/>
      <c r="G514" s="58"/>
      <c r="H514" s="45"/>
      <c r="I514" s="46"/>
      <c r="J514" s="44"/>
    </row>
    <row r="515" spans="2:10" ht="14.4" customHeight="1">
      <c r="B515" s="69"/>
      <c r="C515" s="61"/>
      <c r="D515" s="61"/>
      <c r="E515" s="44"/>
      <c r="F515" s="57"/>
      <c r="G515" s="58"/>
      <c r="H515" s="45"/>
      <c r="I515" s="46"/>
      <c r="J515" s="44"/>
    </row>
    <row r="516" spans="2:10" ht="14.4" customHeight="1">
      <c r="B516" s="69"/>
      <c r="C516" s="61"/>
      <c r="D516" s="61"/>
      <c r="E516" s="44"/>
      <c r="F516" s="57"/>
      <c r="G516" s="58"/>
      <c r="H516" s="45"/>
      <c r="I516" s="46"/>
      <c r="J516" s="44"/>
    </row>
    <row r="517" spans="2:10" ht="14.4" customHeight="1">
      <c r="B517" s="69"/>
      <c r="C517" s="61"/>
      <c r="D517" s="61"/>
      <c r="E517" s="44"/>
      <c r="F517" s="57"/>
      <c r="G517" s="58"/>
      <c r="H517" s="45"/>
      <c r="I517" s="46"/>
      <c r="J517" s="44"/>
    </row>
    <row r="518" spans="2:10" ht="14.4" customHeight="1">
      <c r="B518" s="69"/>
      <c r="C518" s="61"/>
      <c r="D518" s="61"/>
      <c r="E518" s="44"/>
      <c r="F518" s="57"/>
      <c r="G518" s="58"/>
      <c r="H518" s="45"/>
      <c r="I518" s="46"/>
      <c r="J518" s="44"/>
    </row>
    <row r="519" spans="2:10" ht="14.4" customHeight="1">
      <c r="B519" s="69"/>
      <c r="C519" s="61"/>
      <c r="D519" s="61"/>
      <c r="E519" s="44"/>
      <c r="F519" s="57"/>
      <c r="G519" s="58"/>
      <c r="H519" s="45"/>
      <c r="I519" s="46"/>
      <c r="J519" s="44"/>
    </row>
    <row r="520" spans="2:10" ht="14.4" customHeight="1">
      <c r="B520" s="69"/>
      <c r="C520" s="61"/>
      <c r="D520" s="61"/>
      <c r="E520" s="44"/>
      <c r="F520" s="57"/>
      <c r="G520" s="58"/>
      <c r="H520" s="45"/>
      <c r="I520" s="46"/>
      <c r="J520" s="44"/>
    </row>
    <row r="521" spans="2:10" ht="14.4" customHeight="1">
      <c r="B521" s="69"/>
      <c r="C521" s="61"/>
      <c r="D521" s="61"/>
      <c r="E521" s="44"/>
      <c r="F521" s="57"/>
      <c r="G521" s="58"/>
      <c r="H521" s="45"/>
      <c r="I521" s="46"/>
      <c r="J521" s="44"/>
    </row>
    <row r="522" spans="2:10" ht="14.4" customHeight="1">
      <c r="B522" s="69"/>
      <c r="C522" s="61"/>
      <c r="D522" s="61"/>
      <c r="E522" s="44"/>
      <c r="F522" s="57"/>
      <c r="G522" s="58"/>
      <c r="H522" s="45"/>
      <c r="I522" s="46"/>
      <c r="J522" s="44"/>
    </row>
    <row r="523" spans="2:10" ht="14.4" customHeight="1">
      <c r="B523" s="69"/>
      <c r="C523" s="61"/>
      <c r="D523" s="61"/>
      <c r="E523" s="44"/>
      <c r="F523" s="57"/>
      <c r="G523" s="58"/>
      <c r="H523" s="45"/>
      <c r="I523" s="46"/>
      <c r="J523" s="44"/>
    </row>
    <row r="524" spans="2:10" ht="14.4" customHeight="1">
      <c r="B524" s="69"/>
      <c r="C524" s="61"/>
      <c r="D524" s="61"/>
      <c r="E524" s="44"/>
      <c r="F524" s="57"/>
      <c r="G524" s="58"/>
      <c r="H524" s="45"/>
      <c r="I524" s="46"/>
      <c r="J524" s="44"/>
    </row>
    <row r="525" spans="2:10" ht="14.4" customHeight="1">
      <c r="B525" s="69"/>
      <c r="C525" s="61"/>
      <c r="D525" s="61"/>
      <c r="E525" s="44"/>
      <c r="F525" s="57"/>
      <c r="G525" s="58"/>
      <c r="H525" s="45"/>
      <c r="I525" s="46"/>
      <c r="J525" s="44"/>
    </row>
    <row r="526" spans="2:10" ht="14.4" customHeight="1">
      <c r="B526" s="69"/>
      <c r="C526" s="61"/>
      <c r="D526" s="61"/>
      <c r="E526" s="44"/>
      <c r="F526" s="57"/>
      <c r="G526" s="58"/>
      <c r="H526" s="45"/>
      <c r="I526" s="46"/>
      <c r="J526" s="44"/>
    </row>
    <row r="527" spans="2:10" ht="14.4" customHeight="1">
      <c r="B527" s="69"/>
      <c r="C527" s="61"/>
      <c r="D527" s="61"/>
      <c r="E527" s="44"/>
      <c r="F527" s="57"/>
      <c r="G527" s="58"/>
      <c r="H527" s="45"/>
      <c r="I527" s="46"/>
      <c r="J527" s="44"/>
    </row>
    <row r="528" spans="2:10" ht="14.4" customHeight="1">
      <c r="B528" s="69"/>
      <c r="C528" s="61"/>
      <c r="D528" s="61"/>
      <c r="E528" s="44"/>
      <c r="F528" s="57"/>
      <c r="G528" s="58"/>
      <c r="H528" s="45"/>
      <c r="I528" s="46"/>
      <c r="J528" s="44"/>
    </row>
    <row r="529" spans="2:10" ht="14.4" customHeight="1">
      <c r="B529" s="69"/>
      <c r="C529" s="61"/>
      <c r="D529" s="61"/>
      <c r="E529" s="44"/>
      <c r="F529" s="57"/>
      <c r="G529" s="58"/>
      <c r="H529" s="45"/>
      <c r="I529" s="46"/>
      <c r="J529" s="44"/>
    </row>
    <row r="530" spans="2:10" ht="14.4" customHeight="1">
      <c r="B530" s="69"/>
      <c r="C530" s="61"/>
      <c r="D530" s="61"/>
      <c r="E530" s="44"/>
      <c r="F530" s="57"/>
      <c r="G530" s="58"/>
      <c r="H530" s="45"/>
      <c r="I530" s="46"/>
      <c r="J530" s="44"/>
    </row>
    <row r="531" spans="2:10" ht="14.4" customHeight="1">
      <c r="B531" s="69"/>
      <c r="C531" s="61"/>
      <c r="D531" s="61"/>
      <c r="E531" s="44"/>
      <c r="F531" s="57"/>
      <c r="G531" s="58"/>
      <c r="H531" s="45"/>
      <c r="I531" s="46"/>
      <c r="J531" s="44"/>
    </row>
    <row r="532" spans="2:10" ht="14.4" customHeight="1">
      <c r="B532" s="69"/>
      <c r="C532" s="61"/>
      <c r="D532" s="61"/>
      <c r="E532" s="44"/>
      <c r="F532" s="57"/>
      <c r="G532" s="58"/>
      <c r="H532" s="45"/>
      <c r="I532" s="46"/>
      <c r="J532" s="44"/>
    </row>
    <row r="533" spans="2:10" ht="14.4" customHeight="1">
      <c r="B533" s="69"/>
      <c r="C533" s="61"/>
      <c r="D533" s="61"/>
      <c r="E533" s="44"/>
      <c r="F533" s="57"/>
      <c r="G533" s="58"/>
      <c r="H533" s="45"/>
      <c r="I533" s="46"/>
      <c r="J533" s="44"/>
    </row>
    <row r="534" spans="2:10" ht="14.4" customHeight="1">
      <c r="B534" s="69"/>
      <c r="C534" s="61"/>
      <c r="D534" s="61"/>
      <c r="E534" s="44"/>
      <c r="F534" s="57"/>
      <c r="G534" s="58"/>
      <c r="H534" s="45"/>
      <c r="I534" s="46"/>
      <c r="J534" s="44"/>
    </row>
    <row r="535" spans="2:10" ht="14.4" customHeight="1">
      <c r="B535" s="69"/>
      <c r="C535" s="61"/>
      <c r="D535" s="61"/>
      <c r="E535" s="44"/>
      <c r="F535" s="57"/>
      <c r="G535" s="58"/>
      <c r="H535" s="45"/>
      <c r="I535" s="46"/>
      <c r="J535" s="44"/>
    </row>
    <row r="536" spans="2:10" ht="14.4" customHeight="1">
      <c r="B536" s="69"/>
      <c r="C536" s="61"/>
      <c r="D536" s="61"/>
      <c r="E536" s="44"/>
      <c r="F536" s="57"/>
      <c r="G536" s="58"/>
      <c r="H536" s="45"/>
      <c r="I536" s="46"/>
      <c r="J536" s="44"/>
    </row>
    <row r="537" spans="2:10" ht="14.4" customHeight="1">
      <c r="B537" s="69"/>
      <c r="C537" s="61"/>
      <c r="D537" s="61"/>
      <c r="E537" s="44"/>
      <c r="F537" s="57"/>
      <c r="G537" s="58"/>
      <c r="H537" s="45"/>
      <c r="I537" s="46"/>
      <c r="J537" s="44"/>
    </row>
    <row r="538" spans="2:10" ht="14.4" customHeight="1">
      <c r="B538" s="69"/>
      <c r="C538" s="61"/>
      <c r="D538" s="61"/>
      <c r="E538" s="44"/>
      <c r="F538" s="57"/>
      <c r="G538" s="58"/>
      <c r="H538" s="45"/>
      <c r="I538" s="46"/>
      <c r="J538" s="44"/>
    </row>
    <row r="539" spans="2:10" ht="14.4" customHeight="1">
      <c r="B539" s="69"/>
      <c r="C539" s="61"/>
      <c r="D539" s="61"/>
      <c r="E539" s="44"/>
      <c r="F539" s="57"/>
      <c r="G539" s="58"/>
      <c r="H539" s="45"/>
      <c r="I539" s="46"/>
      <c r="J539" s="44"/>
    </row>
    <row r="540" spans="2:10" ht="14.4" customHeight="1">
      <c r="B540" s="69"/>
      <c r="C540" s="61"/>
      <c r="D540" s="61"/>
      <c r="E540" s="44"/>
      <c r="F540" s="57"/>
      <c r="G540" s="58"/>
      <c r="H540" s="45"/>
      <c r="I540" s="46"/>
      <c r="J540" s="44"/>
    </row>
    <row r="541" spans="2:10" ht="14.4" customHeight="1">
      <c r="B541" s="69"/>
      <c r="C541" s="61"/>
      <c r="D541" s="61"/>
      <c r="E541" s="44"/>
      <c r="F541" s="57"/>
      <c r="G541" s="58"/>
      <c r="H541" s="45"/>
      <c r="I541" s="46"/>
      <c r="J541" s="44"/>
    </row>
    <row r="542" spans="2:10" ht="14.4" customHeight="1">
      <c r="B542" s="69"/>
      <c r="C542" s="61"/>
      <c r="D542" s="61"/>
      <c r="E542" s="44"/>
      <c r="F542" s="57"/>
      <c r="G542" s="58"/>
      <c r="H542" s="45"/>
      <c r="I542" s="46"/>
      <c r="J542" s="44"/>
    </row>
    <row r="543" spans="2:10" ht="14.4" customHeight="1">
      <c r="B543" s="69"/>
      <c r="C543" s="61"/>
      <c r="D543" s="61"/>
      <c r="E543" s="44"/>
      <c r="F543" s="57"/>
      <c r="G543" s="58"/>
      <c r="H543" s="45"/>
      <c r="I543" s="46"/>
      <c r="J543" s="44"/>
    </row>
    <row r="544" spans="2:10" ht="14.4" customHeight="1">
      <c r="B544" s="69"/>
      <c r="C544" s="61"/>
      <c r="D544" s="61"/>
      <c r="E544" s="44"/>
      <c r="F544" s="57"/>
      <c r="G544" s="58"/>
      <c r="H544" s="45"/>
      <c r="I544" s="46"/>
      <c r="J544" s="44"/>
    </row>
    <row r="545" spans="2:10" ht="14.4" customHeight="1">
      <c r="B545" s="69"/>
      <c r="C545" s="61"/>
      <c r="D545" s="61"/>
      <c r="E545" s="44"/>
      <c r="F545" s="57"/>
      <c r="G545" s="58"/>
      <c r="H545" s="45"/>
      <c r="I545" s="46"/>
      <c r="J545" s="44"/>
    </row>
    <row r="546" spans="2:10" ht="14.4" customHeight="1">
      <c r="B546" s="69"/>
      <c r="C546" s="61"/>
      <c r="D546" s="61"/>
      <c r="E546" s="44"/>
      <c r="F546" s="57"/>
      <c r="G546" s="58"/>
      <c r="H546" s="45"/>
      <c r="I546" s="46"/>
      <c r="J546" s="44"/>
    </row>
    <row r="547" spans="2:10" ht="14.4" customHeight="1">
      <c r="B547" s="69"/>
      <c r="C547" s="61"/>
      <c r="D547" s="61"/>
      <c r="E547" s="44"/>
      <c r="F547" s="57"/>
      <c r="G547" s="58"/>
      <c r="H547" s="45"/>
      <c r="I547" s="46"/>
      <c r="J547" s="44"/>
    </row>
    <row r="548" spans="2:10" ht="14.4" customHeight="1">
      <c r="B548" s="69"/>
      <c r="C548" s="61"/>
      <c r="D548" s="61"/>
      <c r="E548" s="44"/>
      <c r="F548" s="57"/>
      <c r="G548" s="58"/>
      <c r="H548" s="45"/>
      <c r="I548" s="46"/>
      <c r="J548" s="44"/>
    </row>
    <row r="549" spans="2:10" ht="14.4" customHeight="1">
      <c r="B549" s="69"/>
      <c r="C549" s="61"/>
      <c r="D549" s="61"/>
      <c r="E549" s="44"/>
      <c r="F549" s="57"/>
      <c r="G549" s="58"/>
      <c r="H549" s="45"/>
      <c r="I549" s="46"/>
      <c r="J549" s="44"/>
    </row>
    <row r="550" spans="2:10" ht="14.4" customHeight="1">
      <c r="B550" s="69"/>
      <c r="C550" s="61"/>
      <c r="D550" s="61"/>
      <c r="E550" s="44"/>
      <c r="F550" s="57"/>
      <c r="G550" s="58"/>
      <c r="H550" s="45"/>
      <c r="I550" s="46"/>
      <c r="J550" s="44"/>
    </row>
    <row r="551" spans="2:10" ht="14.4" customHeight="1">
      <c r="B551" s="69"/>
      <c r="C551" s="61"/>
      <c r="D551" s="61"/>
      <c r="E551" s="44"/>
      <c r="F551" s="57"/>
      <c r="G551" s="58"/>
      <c r="H551" s="45"/>
      <c r="I551" s="46"/>
      <c r="J551" s="44"/>
    </row>
    <row r="552" spans="2:10" ht="14.4" customHeight="1">
      <c r="B552" s="69"/>
      <c r="C552" s="61"/>
      <c r="D552" s="61"/>
      <c r="E552" s="44"/>
      <c r="F552" s="57"/>
      <c r="G552" s="58"/>
      <c r="H552" s="45"/>
      <c r="I552" s="46"/>
      <c r="J552" s="44"/>
    </row>
    <row r="553" spans="2:10" ht="14.4" customHeight="1">
      <c r="B553" s="69"/>
      <c r="C553" s="61"/>
      <c r="D553" s="61"/>
      <c r="E553" s="44"/>
      <c r="F553" s="57"/>
      <c r="G553" s="58"/>
      <c r="H553" s="45"/>
      <c r="I553" s="46"/>
      <c r="J553" s="44"/>
    </row>
    <row r="554" spans="2:10" ht="14.4" customHeight="1">
      <c r="B554" s="69"/>
      <c r="C554" s="61"/>
      <c r="D554" s="61"/>
      <c r="E554" s="44"/>
      <c r="F554" s="57"/>
      <c r="G554" s="58"/>
      <c r="H554" s="45"/>
      <c r="I554" s="46"/>
      <c r="J554" s="44"/>
    </row>
    <row r="555" spans="2:10" ht="14.4" customHeight="1">
      <c r="B555" s="69"/>
      <c r="C555" s="61"/>
      <c r="D555" s="61"/>
      <c r="E555" s="44"/>
      <c r="F555" s="57"/>
      <c r="G555" s="58"/>
      <c r="H555" s="45"/>
      <c r="I555" s="46"/>
      <c r="J555" s="44"/>
    </row>
    <row r="556" spans="2:10" ht="14.4" customHeight="1">
      <c r="B556" s="69"/>
      <c r="C556" s="61"/>
      <c r="D556" s="61"/>
      <c r="E556" s="44"/>
      <c r="F556" s="57"/>
      <c r="G556" s="58"/>
      <c r="H556" s="45"/>
      <c r="I556" s="46"/>
      <c r="J556" s="44"/>
    </row>
    <row r="557" spans="2:10" ht="14.4" customHeight="1">
      <c r="B557" s="69"/>
      <c r="C557" s="61"/>
      <c r="D557" s="61"/>
      <c r="E557" s="44"/>
      <c r="F557" s="57"/>
      <c r="G557" s="58"/>
      <c r="H557" s="45"/>
      <c r="I557" s="46"/>
      <c r="J557" s="44"/>
    </row>
    <row r="558" spans="2:10" ht="14.4" customHeight="1">
      <c r="B558" s="69"/>
      <c r="C558" s="61"/>
      <c r="D558" s="61"/>
      <c r="E558" s="44"/>
      <c r="F558" s="57"/>
      <c r="G558" s="58"/>
      <c r="H558" s="45"/>
      <c r="I558" s="46"/>
      <c r="J558" s="44"/>
    </row>
    <row r="559" spans="2:10" ht="14.4" customHeight="1">
      <c r="B559" s="69"/>
      <c r="C559" s="61"/>
      <c r="D559" s="61"/>
      <c r="E559" s="44"/>
      <c r="F559" s="57"/>
      <c r="G559" s="58"/>
      <c r="H559" s="45"/>
      <c r="I559" s="46"/>
      <c r="J559" s="44"/>
    </row>
    <row r="560" spans="2:10" ht="14.4" customHeight="1">
      <c r="B560" s="69"/>
      <c r="C560" s="61"/>
      <c r="D560" s="61"/>
      <c r="E560" s="44"/>
      <c r="F560" s="57"/>
      <c r="G560" s="58"/>
      <c r="H560" s="45"/>
      <c r="I560" s="46"/>
      <c r="J560" s="44"/>
    </row>
    <row r="561" spans="2:10" ht="14.4" customHeight="1">
      <c r="B561" s="69"/>
      <c r="C561" s="61"/>
      <c r="D561" s="61"/>
      <c r="E561" s="44"/>
      <c r="F561" s="57"/>
      <c r="G561" s="58"/>
      <c r="H561" s="45"/>
      <c r="I561" s="46"/>
      <c r="J561" s="44"/>
    </row>
    <row r="562" spans="2:10" ht="14.4" customHeight="1">
      <c r="B562" s="69"/>
      <c r="C562" s="61"/>
      <c r="D562" s="61"/>
      <c r="E562" s="44"/>
      <c r="F562" s="57"/>
      <c r="G562" s="58"/>
      <c r="H562" s="45"/>
      <c r="I562" s="46"/>
      <c r="J562" s="44"/>
    </row>
    <row r="563" spans="2:10" ht="14.4" customHeight="1">
      <c r="B563" s="69"/>
      <c r="C563" s="61"/>
      <c r="D563" s="61"/>
      <c r="E563" s="44"/>
      <c r="F563" s="57"/>
      <c r="G563" s="58"/>
      <c r="H563" s="45"/>
      <c r="I563" s="46"/>
      <c r="J563" s="44"/>
    </row>
    <row r="564" spans="2:10" ht="14.4" customHeight="1">
      <c r="B564" s="69"/>
      <c r="C564" s="61"/>
      <c r="D564" s="61"/>
      <c r="E564" s="44"/>
      <c r="F564" s="57"/>
      <c r="G564" s="58"/>
      <c r="H564" s="45"/>
      <c r="I564" s="46"/>
      <c r="J564" s="44"/>
    </row>
    <row r="565" spans="2:10" ht="14.4" customHeight="1">
      <c r="B565" s="69"/>
      <c r="C565" s="61"/>
      <c r="D565" s="61"/>
      <c r="E565" s="44"/>
      <c r="F565" s="57"/>
      <c r="G565" s="58"/>
      <c r="H565" s="45"/>
      <c r="I565" s="46"/>
      <c r="J565" s="44"/>
    </row>
    <row r="566" spans="2:10" ht="14.4" customHeight="1">
      <c r="B566" s="69"/>
      <c r="C566" s="61"/>
      <c r="D566" s="61"/>
      <c r="E566" s="44"/>
      <c r="F566" s="57"/>
      <c r="G566" s="58"/>
      <c r="H566" s="45"/>
      <c r="I566" s="46"/>
      <c r="J566" s="44"/>
    </row>
    <row r="567" spans="2:10" ht="14.4" customHeight="1">
      <c r="B567" s="69"/>
      <c r="C567" s="61"/>
      <c r="D567" s="61"/>
      <c r="E567" s="44"/>
      <c r="F567" s="57"/>
      <c r="G567" s="58"/>
      <c r="H567" s="45"/>
      <c r="I567" s="46"/>
      <c r="J567" s="44"/>
    </row>
    <row r="568" spans="2:10" ht="14.4" customHeight="1">
      <c r="B568" s="69"/>
      <c r="C568" s="61"/>
      <c r="D568" s="61"/>
      <c r="E568" s="44"/>
      <c r="F568" s="57"/>
      <c r="G568" s="58"/>
      <c r="H568" s="45"/>
      <c r="I568" s="46"/>
      <c r="J568" s="44"/>
    </row>
    <row r="569" spans="2:10" ht="14.4" customHeight="1">
      <c r="B569" s="69"/>
      <c r="C569" s="61"/>
      <c r="D569" s="61"/>
      <c r="E569" s="44"/>
      <c r="F569" s="57"/>
      <c r="G569" s="58"/>
      <c r="H569" s="45"/>
      <c r="I569" s="46"/>
      <c r="J569" s="44"/>
    </row>
    <row r="570" spans="2:10" ht="14.4" customHeight="1">
      <c r="B570" s="69"/>
      <c r="C570" s="61"/>
      <c r="D570" s="61"/>
      <c r="E570" s="44"/>
      <c r="F570" s="57"/>
      <c r="G570" s="58"/>
      <c r="H570" s="45"/>
      <c r="I570" s="46"/>
      <c r="J570" s="44"/>
    </row>
    <row r="571" spans="2:10" ht="14.4" customHeight="1">
      <c r="B571" s="69"/>
      <c r="C571" s="61"/>
      <c r="D571" s="61"/>
      <c r="E571" s="44"/>
      <c r="F571" s="57"/>
      <c r="G571" s="58"/>
      <c r="H571" s="45"/>
      <c r="I571" s="46"/>
      <c r="J571" s="44"/>
    </row>
    <row r="572" spans="2:10" ht="14.4" customHeight="1">
      <c r="B572" s="69"/>
      <c r="C572" s="61"/>
      <c r="D572" s="61"/>
      <c r="E572" s="44"/>
      <c r="F572" s="57"/>
      <c r="G572" s="58"/>
      <c r="H572" s="45"/>
      <c r="I572" s="46"/>
      <c r="J572" s="44"/>
    </row>
    <row r="573" spans="2:10" ht="14.4" customHeight="1">
      <c r="B573" s="69"/>
      <c r="C573" s="61"/>
      <c r="D573" s="61"/>
      <c r="E573" s="44"/>
      <c r="F573" s="57"/>
      <c r="G573" s="58"/>
      <c r="H573" s="45"/>
      <c r="I573" s="46"/>
      <c r="J573" s="44"/>
    </row>
    <row r="574" spans="2:10" ht="14.4" customHeight="1">
      <c r="B574" s="69"/>
      <c r="C574" s="61"/>
      <c r="D574" s="61"/>
      <c r="E574" s="44"/>
      <c r="F574" s="57"/>
      <c r="G574" s="58"/>
      <c r="H574" s="45"/>
      <c r="I574" s="46"/>
      <c r="J574" s="44"/>
    </row>
    <row r="575" spans="2:10" ht="14.4" customHeight="1">
      <c r="B575" s="69"/>
      <c r="C575" s="61"/>
      <c r="D575" s="61"/>
      <c r="E575" s="44"/>
      <c r="F575" s="57"/>
      <c r="G575" s="58"/>
      <c r="H575" s="45"/>
      <c r="I575" s="46"/>
      <c r="J575" s="44"/>
    </row>
    <row r="576" spans="2:10" ht="14.4" customHeight="1">
      <c r="B576" s="69"/>
      <c r="C576" s="61"/>
      <c r="D576" s="61"/>
      <c r="E576" s="44"/>
      <c r="F576" s="57"/>
      <c r="G576" s="58"/>
      <c r="H576" s="45"/>
      <c r="I576" s="46"/>
      <c r="J576" s="44"/>
    </row>
    <row r="577" spans="2:10" ht="14.4" customHeight="1">
      <c r="B577" s="69"/>
      <c r="C577" s="61"/>
      <c r="D577" s="61"/>
      <c r="E577" s="44"/>
      <c r="F577" s="57"/>
      <c r="G577" s="58"/>
      <c r="H577" s="45"/>
      <c r="I577" s="46"/>
      <c r="J577" s="44"/>
    </row>
    <row r="578" spans="2:10" ht="14.4" customHeight="1">
      <c r="B578" s="69"/>
      <c r="C578" s="61"/>
      <c r="D578" s="61"/>
      <c r="E578" s="44"/>
      <c r="F578" s="57"/>
      <c r="G578" s="58"/>
      <c r="H578" s="45"/>
      <c r="I578" s="46"/>
      <c r="J578" s="44"/>
    </row>
    <row r="579" spans="2:10" ht="14.4" customHeight="1">
      <c r="B579" s="69"/>
      <c r="C579" s="61"/>
      <c r="D579" s="61"/>
      <c r="E579" s="44"/>
      <c r="F579" s="57"/>
      <c r="G579" s="58"/>
      <c r="H579" s="45"/>
      <c r="I579" s="46"/>
      <c r="J579" s="44"/>
    </row>
    <row r="580" spans="2:10" ht="14.4" customHeight="1">
      <c r="B580" s="69"/>
      <c r="C580" s="61"/>
      <c r="D580" s="61"/>
      <c r="E580" s="44"/>
      <c r="F580" s="57"/>
      <c r="G580" s="58"/>
      <c r="H580" s="45"/>
      <c r="I580" s="46"/>
      <c r="J580" s="44"/>
    </row>
    <row r="581" spans="2:10" ht="14.4" customHeight="1">
      <c r="B581" s="69"/>
      <c r="C581" s="61"/>
      <c r="D581" s="61"/>
      <c r="E581" s="44"/>
      <c r="F581" s="57"/>
      <c r="G581" s="58"/>
      <c r="H581" s="45"/>
      <c r="I581" s="46"/>
      <c r="J581" s="44"/>
    </row>
    <row r="582" spans="2:10" ht="14.4" customHeight="1">
      <c r="B582" s="69"/>
      <c r="C582" s="61"/>
      <c r="D582" s="61"/>
      <c r="E582" s="44"/>
      <c r="F582" s="57"/>
      <c r="G582" s="58"/>
      <c r="H582" s="45"/>
      <c r="I582" s="46"/>
      <c r="J582" s="44"/>
    </row>
    <row r="583" spans="2:10" ht="14.4" customHeight="1">
      <c r="B583" s="69"/>
      <c r="C583" s="61"/>
      <c r="D583" s="61"/>
      <c r="E583" s="44"/>
      <c r="F583" s="57"/>
      <c r="G583" s="58"/>
      <c r="H583" s="45"/>
      <c r="I583" s="46"/>
      <c r="J583" s="44"/>
    </row>
    <row r="584" spans="2:10" ht="14.4" customHeight="1">
      <c r="B584" s="69"/>
      <c r="C584" s="61"/>
      <c r="D584" s="61"/>
      <c r="E584" s="44"/>
      <c r="F584" s="57"/>
      <c r="G584" s="58"/>
      <c r="H584" s="45"/>
      <c r="I584" s="46"/>
      <c r="J584" s="44"/>
    </row>
    <row r="585" spans="2:10" ht="14.4" customHeight="1">
      <c r="B585" s="69"/>
      <c r="C585" s="61"/>
      <c r="D585" s="61"/>
      <c r="E585" s="44"/>
      <c r="F585" s="57"/>
      <c r="G585" s="58"/>
      <c r="H585" s="45"/>
      <c r="I585" s="46"/>
      <c r="J585" s="44"/>
    </row>
    <row r="586" spans="2:10" ht="14.4" customHeight="1">
      <c r="B586" s="69"/>
      <c r="C586" s="61"/>
      <c r="D586" s="61"/>
      <c r="E586" s="44"/>
      <c r="F586" s="57"/>
      <c r="G586" s="58"/>
      <c r="H586" s="45"/>
      <c r="I586" s="46"/>
      <c r="J586" s="44"/>
    </row>
    <row r="587" spans="2:10" ht="14.4" customHeight="1">
      <c r="B587" s="69"/>
      <c r="C587" s="61"/>
      <c r="D587" s="61"/>
      <c r="E587" s="44"/>
      <c r="F587" s="57"/>
      <c r="G587" s="58"/>
      <c r="H587" s="45"/>
      <c r="I587" s="46"/>
      <c r="J587" s="44"/>
    </row>
    <row r="588" spans="2:10" ht="14.4" customHeight="1">
      <c r="B588" s="69"/>
      <c r="C588" s="61"/>
      <c r="D588" s="61"/>
      <c r="E588" s="44"/>
      <c r="F588" s="57"/>
      <c r="G588" s="58"/>
      <c r="H588" s="45"/>
      <c r="I588" s="46"/>
      <c r="J588" s="44"/>
    </row>
    <row r="589" spans="2:10" ht="14.4" customHeight="1">
      <c r="B589" s="69"/>
      <c r="C589" s="61"/>
      <c r="D589" s="61"/>
      <c r="E589" s="44"/>
      <c r="F589" s="57"/>
      <c r="G589" s="58"/>
      <c r="H589" s="45"/>
      <c r="I589" s="46"/>
      <c r="J589" s="44"/>
    </row>
    <row r="590" spans="2:10" ht="14.4" customHeight="1">
      <c r="B590" s="69"/>
      <c r="C590" s="61"/>
      <c r="D590" s="61"/>
      <c r="E590" s="44"/>
      <c r="F590" s="57"/>
      <c r="G590" s="58"/>
      <c r="H590" s="45"/>
      <c r="I590" s="46"/>
      <c r="J590" s="44"/>
    </row>
    <row r="591" spans="2:10" ht="14.4" customHeight="1">
      <c r="B591" s="69"/>
      <c r="C591" s="61"/>
      <c r="D591" s="61"/>
      <c r="E591" s="44"/>
      <c r="F591" s="57"/>
      <c r="G591" s="58"/>
      <c r="H591" s="45"/>
      <c r="I591" s="46"/>
      <c r="J591" s="44"/>
    </row>
    <row r="592" spans="2:10" ht="14.4" customHeight="1">
      <c r="B592" s="69"/>
      <c r="C592" s="61"/>
      <c r="D592" s="61"/>
      <c r="E592" s="44"/>
      <c r="F592" s="57"/>
      <c r="G592" s="58"/>
      <c r="H592" s="45"/>
      <c r="I592" s="46"/>
      <c r="J592" s="44"/>
    </row>
    <row r="593" spans="2:10" ht="14.4" customHeight="1">
      <c r="B593" s="69"/>
      <c r="C593" s="61"/>
      <c r="D593" s="61"/>
      <c r="E593" s="44"/>
      <c r="F593" s="57"/>
      <c r="G593" s="58"/>
      <c r="H593" s="45"/>
      <c r="I593" s="46"/>
      <c r="J593" s="44"/>
    </row>
    <row r="594" spans="2:10" ht="14.4" customHeight="1">
      <c r="B594" s="69"/>
      <c r="C594" s="61"/>
      <c r="D594" s="61"/>
      <c r="E594" s="44"/>
      <c r="F594" s="57"/>
      <c r="G594" s="58"/>
      <c r="H594" s="45"/>
      <c r="I594" s="46"/>
      <c r="J594" s="44"/>
    </row>
    <row r="595" spans="2:10" ht="14.4" customHeight="1">
      <c r="B595" s="69"/>
      <c r="C595" s="61"/>
      <c r="D595" s="61"/>
      <c r="E595" s="44"/>
      <c r="F595" s="57"/>
      <c r="G595" s="58"/>
      <c r="H595" s="45"/>
      <c r="I595" s="46"/>
      <c r="J595" s="44"/>
    </row>
    <row r="596" spans="2:10" ht="14.4" customHeight="1">
      <c r="B596" s="69"/>
      <c r="C596" s="61"/>
      <c r="D596" s="61"/>
      <c r="E596" s="44"/>
      <c r="F596" s="57"/>
      <c r="G596" s="58"/>
      <c r="H596" s="45"/>
      <c r="I596" s="46"/>
      <c r="J596" s="44"/>
    </row>
    <row r="597" spans="2:10" ht="14.4" customHeight="1">
      <c r="B597" s="69"/>
      <c r="C597" s="61"/>
      <c r="D597" s="61"/>
      <c r="E597" s="44"/>
      <c r="F597" s="57"/>
      <c r="G597" s="58"/>
      <c r="H597" s="45"/>
      <c r="I597" s="46"/>
      <c r="J597" s="44"/>
    </row>
    <row r="598" spans="2:10" ht="14.4" customHeight="1">
      <c r="B598" s="69"/>
      <c r="C598" s="61"/>
      <c r="D598" s="61"/>
      <c r="E598" s="44"/>
      <c r="F598" s="57"/>
      <c r="G598" s="58"/>
      <c r="H598" s="45"/>
      <c r="I598" s="46"/>
      <c r="J598" s="44"/>
    </row>
    <row r="599" spans="2:10" ht="14.4" customHeight="1">
      <c r="B599" s="69"/>
      <c r="C599" s="61"/>
      <c r="D599" s="61"/>
      <c r="E599" s="44"/>
      <c r="F599" s="57"/>
      <c r="G599" s="58"/>
      <c r="H599" s="45"/>
      <c r="I599" s="46"/>
      <c r="J599" s="44"/>
    </row>
    <row r="600" spans="2:10" ht="14.4" customHeight="1">
      <c r="B600" s="69"/>
      <c r="C600" s="61"/>
      <c r="D600" s="61"/>
      <c r="E600" s="44"/>
      <c r="F600" s="57"/>
      <c r="G600" s="58"/>
      <c r="H600" s="45"/>
      <c r="I600" s="46"/>
      <c r="J600" s="44"/>
    </row>
    <row r="601" spans="2:10" ht="14.4" customHeight="1">
      <c r="B601" s="69"/>
      <c r="C601" s="61"/>
      <c r="D601" s="61"/>
      <c r="E601" s="44"/>
      <c r="F601" s="57"/>
      <c r="G601" s="58"/>
      <c r="H601" s="45"/>
      <c r="I601" s="46"/>
      <c r="J601" s="44"/>
    </row>
    <row r="602" spans="2:10" ht="14.4" customHeight="1">
      <c r="B602" s="69"/>
      <c r="C602" s="61"/>
      <c r="D602" s="61"/>
      <c r="E602" s="44"/>
      <c r="F602" s="57"/>
      <c r="G602" s="58"/>
      <c r="H602" s="45"/>
      <c r="I602" s="46"/>
      <c r="J602" s="44"/>
    </row>
    <row r="603" spans="2:10" ht="14.4" customHeight="1">
      <c r="B603" s="69"/>
      <c r="C603" s="61"/>
      <c r="D603" s="61"/>
      <c r="E603" s="44"/>
      <c r="F603" s="57"/>
      <c r="G603" s="58"/>
      <c r="H603" s="45"/>
      <c r="I603" s="46"/>
      <c r="J603" s="44"/>
    </row>
    <row r="604" spans="2:10" ht="14.4" customHeight="1">
      <c r="B604" s="69"/>
      <c r="C604" s="61"/>
      <c r="D604" s="61"/>
      <c r="E604" s="44"/>
      <c r="F604" s="57"/>
      <c r="G604" s="58"/>
      <c r="H604" s="45"/>
      <c r="I604" s="46"/>
      <c r="J604" s="44"/>
    </row>
    <row r="605" spans="2:10" ht="14.4" customHeight="1">
      <c r="B605" s="69"/>
      <c r="C605" s="61"/>
      <c r="D605" s="61"/>
      <c r="E605" s="44"/>
      <c r="F605" s="57"/>
      <c r="G605" s="58"/>
      <c r="H605" s="45"/>
      <c r="I605" s="46"/>
      <c r="J605" s="44"/>
    </row>
    <row r="606" spans="2:10" ht="14.4" customHeight="1">
      <c r="B606" s="69"/>
      <c r="C606" s="61"/>
      <c r="D606" s="61"/>
      <c r="E606" s="44"/>
      <c r="F606" s="57"/>
      <c r="G606" s="58"/>
      <c r="H606" s="45"/>
      <c r="I606" s="46"/>
      <c r="J606" s="44"/>
    </row>
    <row r="607" spans="2:10" ht="14.4" customHeight="1">
      <c r="B607" s="69"/>
      <c r="C607" s="61"/>
      <c r="D607" s="61"/>
      <c r="E607" s="44"/>
      <c r="F607" s="57"/>
      <c r="G607" s="58"/>
      <c r="H607" s="45"/>
      <c r="I607" s="46"/>
      <c r="J607" s="44"/>
    </row>
    <row r="608" spans="2:10" ht="14.4" customHeight="1">
      <c r="B608" s="69"/>
      <c r="C608" s="61"/>
      <c r="D608" s="61"/>
      <c r="E608" s="44"/>
      <c r="F608" s="57"/>
      <c r="G608" s="58"/>
      <c r="H608" s="45"/>
      <c r="I608" s="46"/>
      <c r="J608" s="44"/>
    </row>
    <row r="609" spans="2:10" ht="14.4" customHeight="1">
      <c r="B609" s="69"/>
      <c r="C609" s="61"/>
      <c r="D609" s="61"/>
      <c r="E609" s="44"/>
      <c r="F609" s="57"/>
      <c r="G609" s="58"/>
      <c r="H609" s="45"/>
      <c r="I609" s="46"/>
      <c r="J609" s="44"/>
    </row>
    <row r="610" spans="2:10" ht="14.4" customHeight="1">
      <c r="B610" s="69"/>
      <c r="C610" s="61"/>
      <c r="D610" s="61"/>
      <c r="E610" s="44"/>
      <c r="F610" s="57"/>
      <c r="G610" s="58"/>
      <c r="H610" s="45"/>
      <c r="I610" s="46"/>
      <c r="J610" s="44"/>
    </row>
    <row r="611" spans="2:10" ht="14.4" customHeight="1">
      <c r="B611" s="69"/>
      <c r="C611" s="61"/>
      <c r="D611" s="61"/>
      <c r="E611" s="44"/>
      <c r="F611" s="57"/>
      <c r="G611" s="58"/>
      <c r="H611" s="45"/>
      <c r="I611" s="46"/>
      <c r="J611" s="44"/>
    </row>
    <row r="612" spans="2:10" ht="14.4" customHeight="1">
      <c r="B612" s="69"/>
      <c r="C612" s="61"/>
      <c r="D612" s="61"/>
      <c r="E612" s="44"/>
      <c r="F612" s="57"/>
      <c r="G612" s="58"/>
      <c r="H612" s="45"/>
      <c r="I612" s="46"/>
      <c r="J612" s="44"/>
    </row>
    <row r="613" spans="2:10" ht="14.4" customHeight="1">
      <c r="B613" s="69"/>
      <c r="C613" s="61"/>
      <c r="D613" s="61"/>
      <c r="E613" s="44"/>
      <c r="F613" s="57"/>
      <c r="G613" s="58"/>
      <c r="H613" s="45"/>
      <c r="I613" s="46"/>
      <c r="J613" s="44"/>
    </row>
    <row r="614" spans="2:10" ht="14.4" customHeight="1">
      <c r="B614" s="69"/>
      <c r="C614" s="61"/>
      <c r="D614" s="61"/>
      <c r="E614" s="44"/>
      <c r="F614" s="57"/>
      <c r="G614" s="58"/>
      <c r="H614" s="45"/>
      <c r="I614" s="46"/>
      <c r="J614" s="44"/>
    </row>
    <row r="615" spans="2:10" ht="14.4" customHeight="1">
      <c r="B615" s="69"/>
      <c r="C615" s="61"/>
      <c r="D615" s="61"/>
      <c r="E615" s="44"/>
      <c r="F615" s="57"/>
      <c r="G615" s="58"/>
      <c r="H615" s="45"/>
      <c r="I615" s="46"/>
      <c r="J615" s="44"/>
    </row>
    <row r="616" spans="2:10" ht="14.4" customHeight="1">
      <c r="B616" s="69"/>
      <c r="C616" s="61"/>
      <c r="D616" s="61"/>
      <c r="E616" s="44"/>
      <c r="F616" s="57"/>
      <c r="G616" s="58"/>
      <c r="H616" s="45"/>
      <c r="I616" s="46"/>
      <c r="J616" s="44"/>
    </row>
    <row r="617" spans="2:10" ht="14.4" customHeight="1">
      <c r="B617" s="69"/>
      <c r="C617" s="61"/>
      <c r="D617" s="61"/>
      <c r="E617" s="44"/>
      <c r="F617" s="57"/>
      <c r="G617" s="58"/>
      <c r="H617" s="45"/>
      <c r="I617" s="46"/>
      <c r="J617" s="44"/>
    </row>
    <row r="618" spans="2:10" ht="14.4" customHeight="1">
      <c r="B618" s="69"/>
      <c r="C618" s="61"/>
      <c r="D618" s="61"/>
      <c r="E618" s="44"/>
      <c r="F618" s="57"/>
      <c r="G618" s="58"/>
      <c r="H618" s="45"/>
      <c r="I618" s="46"/>
      <c r="J618" s="44"/>
    </row>
    <row r="619" spans="2:10" ht="14.4" customHeight="1">
      <c r="B619" s="69"/>
      <c r="C619" s="61"/>
      <c r="D619" s="61"/>
      <c r="E619" s="44"/>
      <c r="F619" s="57"/>
      <c r="G619" s="58"/>
      <c r="H619" s="45"/>
      <c r="I619" s="46"/>
      <c r="J619" s="44"/>
    </row>
    <row r="620" spans="2:10" ht="14.4" customHeight="1">
      <c r="B620" s="69"/>
      <c r="C620" s="61"/>
      <c r="D620" s="61"/>
      <c r="E620" s="44"/>
      <c r="F620" s="57"/>
      <c r="G620" s="58"/>
      <c r="H620" s="45"/>
      <c r="I620" s="46"/>
      <c r="J620" s="44"/>
    </row>
    <row r="621" spans="2:10" ht="14.4" customHeight="1">
      <c r="B621" s="69"/>
      <c r="C621" s="61"/>
      <c r="D621" s="61"/>
      <c r="E621" s="44"/>
      <c r="F621" s="57"/>
      <c r="G621" s="58"/>
      <c r="H621" s="45"/>
      <c r="I621" s="46"/>
      <c r="J621" s="44"/>
    </row>
    <row r="622" spans="2:10" ht="14.4" customHeight="1">
      <c r="B622" s="69"/>
      <c r="C622" s="61"/>
      <c r="D622" s="61"/>
      <c r="E622" s="44"/>
      <c r="F622" s="57"/>
      <c r="G622" s="58"/>
      <c r="H622" s="45"/>
      <c r="I622" s="46"/>
      <c r="J622" s="44"/>
    </row>
    <row r="623" spans="2:10" ht="14.4" customHeight="1">
      <c r="B623" s="69"/>
      <c r="C623" s="61"/>
      <c r="D623" s="61"/>
      <c r="E623" s="44"/>
      <c r="F623" s="57"/>
      <c r="G623" s="58"/>
      <c r="H623" s="45"/>
      <c r="I623" s="46"/>
      <c r="J623" s="44"/>
    </row>
    <row r="624" spans="2:10" ht="14.4" customHeight="1">
      <c r="B624" s="69"/>
      <c r="C624" s="61"/>
      <c r="D624" s="61"/>
      <c r="E624" s="44"/>
      <c r="F624" s="57"/>
      <c r="G624" s="58"/>
      <c r="H624" s="45"/>
      <c r="I624" s="46"/>
      <c r="J624" s="44"/>
    </row>
    <row r="625" spans="2:10" ht="14.4" customHeight="1">
      <c r="B625" s="69"/>
      <c r="C625" s="61"/>
      <c r="D625" s="61"/>
      <c r="E625" s="44"/>
      <c r="F625" s="57"/>
      <c r="G625" s="58"/>
      <c r="H625" s="45"/>
      <c r="I625" s="46"/>
      <c r="J625" s="44"/>
    </row>
    <row r="626" spans="2:10" ht="14.4" customHeight="1">
      <c r="B626" s="69"/>
      <c r="C626" s="61"/>
      <c r="D626" s="61"/>
      <c r="E626" s="44"/>
      <c r="F626" s="57"/>
      <c r="G626" s="58"/>
      <c r="H626" s="45"/>
      <c r="I626" s="46"/>
      <c r="J626" s="44"/>
    </row>
    <row r="627" spans="2:10" ht="14.4" customHeight="1">
      <c r="B627" s="69"/>
      <c r="C627" s="61"/>
      <c r="D627" s="61"/>
      <c r="E627" s="44"/>
      <c r="F627" s="57"/>
      <c r="G627" s="58"/>
      <c r="H627" s="45"/>
      <c r="I627" s="46"/>
      <c r="J627" s="44"/>
    </row>
    <row r="628" spans="2:10" ht="14.4" customHeight="1">
      <c r="B628" s="69"/>
      <c r="C628" s="61"/>
      <c r="D628" s="61"/>
      <c r="E628" s="44"/>
      <c r="F628" s="57"/>
      <c r="G628" s="58"/>
      <c r="H628" s="45"/>
      <c r="I628" s="46"/>
      <c r="J628" s="44"/>
    </row>
    <row r="629" spans="2:10" ht="14.4" customHeight="1">
      <c r="B629" s="69"/>
      <c r="C629" s="61"/>
      <c r="D629" s="61"/>
      <c r="E629" s="44"/>
      <c r="F629" s="57"/>
      <c r="G629" s="58"/>
      <c r="H629" s="45"/>
      <c r="I629" s="46"/>
      <c r="J629" s="44"/>
    </row>
    <row r="630" spans="2:10" ht="14.4" customHeight="1">
      <c r="B630" s="69"/>
      <c r="C630" s="61"/>
      <c r="D630" s="61"/>
      <c r="E630" s="44"/>
      <c r="F630" s="57"/>
      <c r="G630" s="58"/>
      <c r="H630" s="45"/>
      <c r="I630" s="46"/>
      <c r="J630" s="44"/>
    </row>
    <row r="631" spans="2:10" ht="14.4" customHeight="1">
      <c r="B631" s="69"/>
      <c r="C631" s="61"/>
      <c r="D631" s="61"/>
      <c r="E631" s="44"/>
      <c r="F631" s="57"/>
      <c r="G631" s="58"/>
      <c r="H631" s="45"/>
      <c r="I631" s="46"/>
      <c r="J631" s="44"/>
    </row>
    <row r="632" spans="2:10" ht="14.4" customHeight="1">
      <c r="B632" s="69"/>
      <c r="C632" s="61"/>
      <c r="D632" s="61"/>
      <c r="E632" s="44"/>
      <c r="F632" s="57"/>
      <c r="G632" s="58"/>
      <c r="H632" s="45"/>
      <c r="I632" s="46"/>
      <c r="J632" s="44"/>
    </row>
    <row r="633" spans="2:10" ht="14.4" customHeight="1">
      <c r="B633" s="69"/>
      <c r="C633" s="61"/>
      <c r="D633" s="61"/>
      <c r="E633" s="44"/>
      <c r="F633" s="57"/>
      <c r="G633" s="58"/>
      <c r="H633" s="45"/>
      <c r="I633" s="46"/>
      <c r="J633" s="44"/>
    </row>
    <row r="634" spans="2:10" ht="14.4" customHeight="1">
      <c r="B634" s="69"/>
      <c r="C634" s="61"/>
      <c r="D634" s="61"/>
      <c r="E634" s="44"/>
      <c r="F634" s="57"/>
      <c r="G634" s="58"/>
      <c r="H634" s="45"/>
      <c r="I634" s="46"/>
      <c r="J634" s="44"/>
    </row>
    <row r="635" spans="2:10" ht="14.4" customHeight="1">
      <c r="B635" s="69"/>
      <c r="C635" s="61"/>
      <c r="D635" s="61"/>
      <c r="E635" s="44"/>
      <c r="F635" s="57"/>
      <c r="G635" s="58"/>
      <c r="H635" s="45"/>
      <c r="I635" s="46"/>
      <c r="J635" s="44"/>
    </row>
    <row r="636" spans="2:10" ht="14.4" customHeight="1">
      <c r="B636" s="69"/>
      <c r="C636" s="61"/>
      <c r="D636" s="61"/>
      <c r="E636" s="44"/>
      <c r="F636" s="57"/>
      <c r="G636" s="58"/>
      <c r="H636" s="45"/>
      <c r="I636" s="46"/>
      <c r="J636" s="44"/>
    </row>
    <row r="637" spans="2:10" ht="14.4" customHeight="1">
      <c r="B637" s="69"/>
      <c r="C637" s="61"/>
      <c r="D637" s="61"/>
      <c r="E637" s="44"/>
      <c r="F637" s="57"/>
      <c r="G637" s="58"/>
      <c r="H637" s="45"/>
      <c r="I637" s="46"/>
      <c r="J637" s="44"/>
    </row>
    <row r="638" spans="2:10" ht="14.4" customHeight="1">
      <c r="B638" s="69"/>
      <c r="C638" s="61"/>
      <c r="D638" s="61"/>
      <c r="E638" s="44"/>
      <c r="F638" s="57"/>
      <c r="G638" s="58"/>
      <c r="H638" s="45"/>
      <c r="I638" s="46"/>
      <c r="J638" s="44"/>
    </row>
    <row r="639" spans="2:10" ht="14.4" customHeight="1">
      <c r="B639" s="69"/>
      <c r="C639" s="61"/>
      <c r="D639" s="61"/>
      <c r="E639" s="44"/>
      <c r="F639" s="57"/>
      <c r="G639" s="58"/>
      <c r="H639" s="45"/>
      <c r="I639" s="46"/>
      <c r="J639" s="44"/>
    </row>
    <row r="640" spans="2:10" ht="14.4" customHeight="1">
      <c r="B640" s="69"/>
      <c r="C640" s="61"/>
      <c r="D640" s="61"/>
      <c r="E640" s="44"/>
      <c r="F640" s="57"/>
      <c r="G640" s="58"/>
      <c r="H640" s="45"/>
      <c r="I640" s="46"/>
      <c r="J640" s="44"/>
    </row>
    <row r="641" spans="2:10" ht="14.4" customHeight="1">
      <c r="B641" s="69"/>
      <c r="C641" s="61"/>
      <c r="D641" s="61"/>
      <c r="E641" s="44"/>
      <c r="F641" s="57"/>
      <c r="G641" s="58"/>
      <c r="H641" s="45"/>
      <c r="I641" s="46"/>
      <c r="J641" s="44"/>
    </row>
    <row r="642" spans="2:10" ht="14.4" customHeight="1">
      <c r="B642" s="69"/>
      <c r="C642" s="61"/>
      <c r="D642" s="61"/>
      <c r="E642" s="44"/>
      <c r="F642" s="57"/>
      <c r="G642" s="58"/>
      <c r="H642" s="45"/>
      <c r="I642" s="46"/>
      <c r="J642" s="44"/>
    </row>
    <row r="643" spans="2:10" ht="14.4" customHeight="1">
      <c r="B643" s="69"/>
      <c r="C643" s="61"/>
      <c r="D643" s="61"/>
      <c r="E643" s="44"/>
      <c r="F643" s="57"/>
      <c r="G643" s="58"/>
      <c r="H643" s="45"/>
      <c r="I643" s="46"/>
      <c r="J643" s="44"/>
    </row>
    <row r="644" spans="2:10" ht="14.4" customHeight="1">
      <c r="B644" s="69"/>
      <c r="C644" s="61"/>
      <c r="D644" s="61"/>
      <c r="E644" s="44"/>
      <c r="F644" s="57"/>
      <c r="G644" s="58"/>
      <c r="H644" s="45"/>
      <c r="I644" s="46"/>
      <c r="J644" s="44"/>
    </row>
    <row r="645" spans="2:10" ht="14.4" customHeight="1">
      <c r="B645" s="69"/>
      <c r="C645" s="61"/>
      <c r="D645" s="61"/>
      <c r="E645" s="44"/>
      <c r="F645" s="57"/>
      <c r="G645" s="58"/>
      <c r="H645" s="45"/>
      <c r="I645" s="46"/>
      <c r="J645" s="44"/>
    </row>
    <row r="646" spans="2:10" ht="14.4" customHeight="1">
      <c r="B646" s="69"/>
      <c r="C646" s="61"/>
      <c r="D646" s="61"/>
      <c r="E646" s="44"/>
      <c r="F646" s="57"/>
      <c r="G646" s="58"/>
      <c r="H646" s="45"/>
      <c r="I646" s="46"/>
      <c r="J646" s="44"/>
    </row>
    <row r="647" spans="2:10" ht="14.4" customHeight="1">
      <c r="B647" s="69"/>
      <c r="C647" s="61"/>
      <c r="D647" s="61"/>
      <c r="E647" s="44"/>
      <c r="F647" s="57"/>
      <c r="G647" s="58"/>
      <c r="H647" s="45"/>
      <c r="I647" s="46"/>
      <c r="J647" s="44"/>
    </row>
    <row r="648" spans="2:10" ht="14.4" customHeight="1">
      <c r="B648" s="69"/>
      <c r="C648" s="61"/>
      <c r="D648" s="61"/>
      <c r="E648" s="44"/>
      <c r="F648" s="57"/>
      <c r="G648" s="58"/>
      <c r="H648" s="45"/>
      <c r="I648" s="46"/>
      <c r="J648" s="44"/>
    </row>
    <row r="649" spans="2:10" ht="14.4" customHeight="1">
      <c r="B649" s="69"/>
      <c r="C649" s="61"/>
      <c r="D649" s="61"/>
      <c r="E649" s="44"/>
      <c r="F649" s="57"/>
      <c r="G649" s="58"/>
      <c r="H649" s="45"/>
      <c r="I649" s="46"/>
      <c r="J649" s="44"/>
    </row>
    <row r="650" spans="2:10" ht="14.4" customHeight="1">
      <c r="B650" s="69"/>
      <c r="C650" s="61"/>
      <c r="D650" s="61"/>
      <c r="E650" s="44"/>
      <c r="F650" s="57"/>
      <c r="G650" s="58"/>
      <c r="H650" s="45"/>
      <c r="I650" s="46"/>
      <c r="J650" s="44"/>
    </row>
    <row r="651" spans="2:10" ht="14.4" customHeight="1">
      <c r="B651" s="69"/>
      <c r="C651" s="61"/>
      <c r="D651" s="61"/>
      <c r="E651" s="44"/>
      <c r="F651" s="57"/>
      <c r="G651" s="58"/>
      <c r="H651" s="45"/>
      <c r="I651" s="46"/>
      <c r="J651" s="44"/>
    </row>
    <row r="652" spans="2:10" ht="14.4" customHeight="1">
      <c r="B652" s="69"/>
      <c r="C652" s="61"/>
      <c r="D652" s="61"/>
      <c r="E652" s="44"/>
      <c r="F652" s="57"/>
      <c r="G652" s="58"/>
      <c r="H652" s="45"/>
      <c r="I652" s="46"/>
      <c r="J652" s="44"/>
    </row>
    <row r="653" spans="2:10" ht="14.4" customHeight="1">
      <c r="B653" s="69"/>
      <c r="C653" s="61"/>
      <c r="D653" s="61"/>
      <c r="E653" s="44"/>
      <c r="F653" s="57"/>
      <c r="G653" s="58"/>
      <c r="H653" s="45"/>
      <c r="I653" s="46"/>
      <c r="J653" s="44"/>
    </row>
    <row r="654" spans="2:10" ht="14.4" customHeight="1">
      <c r="B654" s="69"/>
      <c r="C654" s="61"/>
      <c r="D654" s="61"/>
      <c r="E654" s="44"/>
      <c r="F654" s="57"/>
      <c r="G654" s="58"/>
      <c r="H654" s="45"/>
      <c r="I654" s="46"/>
      <c r="J654" s="44"/>
    </row>
    <row r="655" spans="2:10" ht="14.4" customHeight="1">
      <c r="B655" s="69"/>
      <c r="C655" s="61"/>
      <c r="D655" s="61"/>
      <c r="E655" s="44"/>
      <c r="F655" s="57"/>
      <c r="G655" s="58"/>
      <c r="H655" s="45"/>
      <c r="I655" s="46"/>
      <c r="J655" s="44"/>
    </row>
    <row r="656" spans="2:10" ht="14.4" customHeight="1">
      <c r="B656" s="69"/>
      <c r="C656" s="61"/>
      <c r="D656" s="61"/>
      <c r="E656" s="44"/>
      <c r="F656" s="57"/>
      <c r="G656" s="58"/>
      <c r="H656" s="45"/>
      <c r="I656" s="46"/>
      <c r="J656" s="44"/>
    </row>
    <row r="657" spans="2:10" ht="14.4" customHeight="1">
      <c r="B657" s="69"/>
      <c r="C657" s="61"/>
      <c r="D657" s="61"/>
      <c r="E657" s="44"/>
      <c r="F657" s="57"/>
      <c r="G657" s="58"/>
      <c r="H657" s="45"/>
      <c r="I657" s="46"/>
      <c r="J657" s="44"/>
    </row>
    <row r="658" spans="2:10" ht="14.4" customHeight="1">
      <c r="B658" s="69"/>
      <c r="C658" s="61"/>
      <c r="D658" s="61"/>
      <c r="E658" s="44"/>
      <c r="F658" s="57"/>
      <c r="G658" s="58"/>
      <c r="H658" s="45"/>
      <c r="I658" s="46"/>
      <c r="J658" s="44"/>
    </row>
    <row r="659" spans="2:10" ht="14.4" customHeight="1">
      <c r="B659" s="69"/>
      <c r="C659" s="61"/>
      <c r="D659" s="61"/>
      <c r="E659" s="44"/>
      <c r="F659" s="57"/>
      <c r="G659" s="58"/>
      <c r="H659" s="45"/>
      <c r="I659" s="46"/>
      <c r="J659" s="44"/>
    </row>
    <row r="660" spans="2:10" ht="14.4" customHeight="1">
      <c r="B660" s="69"/>
      <c r="C660" s="61"/>
      <c r="D660" s="61"/>
      <c r="E660" s="44"/>
      <c r="F660" s="57"/>
      <c r="G660" s="58"/>
      <c r="H660" s="45"/>
      <c r="I660" s="46"/>
      <c r="J660" s="44"/>
    </row>
    <row r="661" spans="2:10" ht="14.4" customHeight="1">
      <c r="B661" s="69"/>
      <c r="C661" s="61"/>
      <c r="D661" s="61"/>
      <c r="E661" s="44"/>
      <c r="F661" s="57"/>
      <c r="G661" s="58"/>
      <c r="H661" s="45"/>
      <c r="I661" s="46"/>
      <c r="J661" s="44"/>
    </row>
    <row r="662" spans="2:10" ht="14.4" customHeight="1">
      <c r="B662" s="69"/>
      <c r="C662" s="61"/>
      <c r="D662" s="61"/>
      <c r="E662" s="44"/>
      <c r="F662" s="57"/>
      <c r="G662" s="58"/>
      <c r="H662" s="45"/>
      <c r="I662" s="46"/>
      <c r="J662" s="44"/>
    </row>
    <row r="663" spans="2:10" ht="14.4" customHeight="1">
      <c r="B663" s="69"/>
      <c r="C663" s="61"/>
      <c r="D663" s="61"/>
      <c r="E663" s="44"/>
      <c r="F663" s="57"/>
      <c r="G663" s="58"/>
      <c r="H663" s="45"/>
      <c r="I663" s="46"/>
      <c r="J663" s="44"/>
    </row>
    <row r="664" spans="2:10" ht="14.4" customHeight="1">
      <c r="B664" s="69"/>
      <c r="C664" s="61"/>
      <c r="D664" s="61"/>
      <c r="E664" s="44"/>
      <c r="F664" s="57"/>
      <c r="G664" s="58"/>
      <c r="H664" s="45"/>
      <c r="I664" s="46"/>
      <c r="J664" s="44"/>
    </row>
    <row r="665" spans="2:10" ht="14.4" customHeight="1">
      <c r="B665" s="69"/>
      <c r="C665" s="61"/>
      <c r="D665" s="61"/>
      <c r="E665" s="44"/>
      <c r="F665" s="57"/>
      <c r="G665" s="58"/>
      <c r="H665" s="45"/>
      <c r="I665" s="46"/>
      <c r="J665" s="44"/>
    </row>
    <row r="666" spans="2:10" ht="14.4" customHeight="1">
      <c r="B666" s="69"/>
      <c r="C666" s="61"/>
      <c r="D666" s="61"/>
      <c r="E666" s="44"/>
      <c r="F666" s="57"/>
      <c r="G666" s="58"/>
      <c r="H666" s="45"/>
      <c r="I666" s="46"/>
      <c r="J666" s="44"/>
    </row>
    <row r="667" spans="2:10" ht="14.4" customHeight="1">
      <c r="B667" s="69"/>
      <c r="C667" s="61"/>
      <c r="D667" s="61"/>
      <c r="E667" s="44"/>
      <c r="F667" s="57"/>
      <c r="G667" s="58"/>
      <c r="H667" s="45"/>
      <c r="I667" s="46"/>
      <c r="J667" s="44"/>
    </row>
    <row r="668" spans="2:10" ht="14.4" customHeight="1">
      <c r="B668" s="69"/>
      <c r="C668" s="61"/>
      <c r="D668" s="61"/>
      <c r="E668" s="44"/>
      <c r="F668" s="57"/>
      <c r="G668" s="58"/>
      <c r="H668" s="45"/>
      <c r="I668" s="46"/>
      <c r="J668" s="44"/>
    </row>
    <row r="669" spans="2:10" ht="14.4" customHeight="1">
      <c r="B669" s="69"/>
      <c r="C669" s="61"/>
      <c r="D669" s="61"/>
      <c r="E669" s="44"/>
      <c r="F669" s="57"/>
      <c r="G669" s="58"/>
      <c r="H669" s="45"/>
      <c r="I669" s="46"/>
      <c r="J669" s="44"/>
    </row>
    <row r="670" spans="2:10" ht="14.4" customHeight="1">
      <c r="B670" s="69"/>
      <c r="C670" s="61"/>
      <c r="D670" s="61"/>
      <c r="E670" s="44"/>
      <c r="F670" s="57"/>
      <c r="G670" s="58"/>
      <c r="H670" s="45"/>
      <c r="I670" s="46"/>
      <c r="J670" s="44"/>
    </row>
    <row r="671" spans="2:10" ht="14.4" customHeight="1">
      <c r="B671" s="69"/>
      <c r="C671" s="61"/>
      <c r="D671" s="61"/>
      <c r="E671" s="44"/>
      <c r="F671" s="57"/>
      <c r="G671" s="58"/>
      <c r="H671" s="45"/>
      <c r="I671" s="46"/>
      <c r="J671" s="44"/>
    </row>
    <row r="672" spans="2:10" ht="14.4" customHeight="1">
      <c r="B672" s="69"/>
      <c r="C672" s="61"/>
      <c r="D672" s="61"/>
      <c r="E672" s="44"/>
      <c r="F672" s="57"/>
      <c r="G672" s="58"/>
      <c r="H672" s="45"/>
      <c r="I672" s="46"/>
      <c r="J672" s="44"/>
    </row>
    <row r="673" spans="2:10" ht="14.4" customHeight="1">
      <c r="B673" s="69"/>
      <c r="C673" s="61"/>
      <c r="D673" s="61"/>
      <c r="E673" s="44"/>
      <c r="F673" s="57"/>
      <c r="G673" s="58"/>
      <c r="H673" s="45"/>
      <c r="I673" s="46"/>
      <c r="J673" s="44"/>
    </row>
    <row r="674" spans="2:10" ht="14.4" customHeight="1">
      <c r="B674" s="69"/>
      <c r="C674" s="61"/>
      <c r="D674" s="61"/>
      <c r="E674" s="44"/>
      <c r="F674" s="57"/>
      <c r="G674" s="58"/>
      <c r="H674" s="45"/>
      <c r="I674" s="46"/>
      <c r="J674" s="44"/>
    </row>
    <row r="675" spans="2:10" ht="14.4" customHeight="1">
      <c r="B675" s="69"/>
      <c r="C675" s="61"/>
      <c r="D675" s="61"/>
      <c r="E675" s="44"/>
      <c r="F675" s="57"/>
      <c r="G675" s="58"/>
      <c r="H675" s="45"/>
      <c r="I675" s="46"/>
      <c r="J675" s="44"/>
    </row>
    <row r="676" spans="2:10" ht="14.4" customHeight="1">
      <c r="B676" s="69"/>
      <c r="C676" s="61"/>
      <c r="D676" s="61"/>
      <c r="E676" s="44"/>
      <c r="F676" s="57"/>
      <c r="G676" s="58"/>
      <c r="H676" s="45"/>
      <c r="I676" s="46"/>
      <c r="J676" s="44"/>
    </row>
    <row r="677" spans="2:10" ht="14.4" customHeight="1">
      <c r="B677" s="69"/>
      <c r="C677" s="61"/>
      <c r="D677" s="61"/>
      <c r="E677" s="44"/>
      <c r="F677" s="57"/>
      <c r="G677" s="58"/>
      <c r="H677" s="45"/>
      <c r="I677" s="46"/>
      <c r="J677" s="44"/>
    </row>
    <row r="678" spans="2:10" ht="14.4" customHeight="1">
      <c r="B678" s="69"/>
      <c r="C678" s="61"/>
      <c r="D678" s="61"/>
      <c r="E678" s="44"/>
      <c r="F678" s="57"/>
      <c r="G678" s="58"/>
      <c r="H678" s="45"/>
      <c r="I678" s="46"/>
      <c r="J678" s="44"/>
    </row>
    <row r="679" spans="2:10" ht="14.4" customHeight="1">
      <c r="B679" s="69"/>
      <c r="C679" s="61"/>
      <c r="D679" s="61"/>
      <c r="E679" s="44"/>
      <c r="F679" s="57"/>
      <c r="G679" s="58"/>
      <c r="H679" s="45"/>
      <c r="I679" s="46"/>
      <c r="J679" s="44"/>
    </row>
    <row r="680" spans="2:10" ht="14.4" customHeight="1">
      <c r="B680" s="69"/>
      <c r="C680" s="61"/>
      <c r="D680" s="61"/>
      <c r="E680" s="44"/>
      <c r="F680" s="57"/>
      <c r="G680" s="58"/>
      <c r="H680" s="45"/>
      <c r="I680" s="46"/>
      <c r="J680" s="44"/>
    </row>
    <row r="681" spans="2:10" ht="14.4" customHeight="1">
      <c r="B681" s="69"/>
      <c r="C681" s="61"/>
      <c r="D681" s="61"/>
      <c r="E681" s="44"/>
      <c r="F681" s="57"/>
      <c r="G681" s="58"/>
      <c r="H681" s="45"/>
      <c r="I681" s="46"/>
      <c r="J681" s="44"/>
    </row>
    <row r="682" spans="2:10" ht="14.4" customHeight="1">
      <c r="B682" s="69"/>
      <c r="C682" s="61"/>
      <c r="D682" s="61"/>
      <c r="E682" s="44"/>
      <c r="F682" s="57"/>
      <c r="G682" s="58"/>
      <c r="H682" s="45"/>
      <c r="I682" s="46"/>
      <c r="J682" s="44"/>
    </row>
    <row r="683" spans="2:10" ht="14.4" customHeight="1">
      <c r="B683" s="69"/>
      <c r="C683" s="61"/>
      <c r="D683" s="61"/>
      <c r="E683" s="44"/>
      <c r="F683" s="57"/>
      <c r="G683" s="58"/>
      <c r="H683" s="45"/>
      <c r="I683" s="46"/>
      <c r="J683" s="44"/>
    </row>
    <row r="684" spans="2:10" ht="14.4" customHeight="1">
      <c r="B684" s="69"/>
      <c r="C684" s="61"/>
      <c r="D684" s="61"/>
      <c r="E684" s="44"/>
      <c r="F684" s="57"/>
      <c r="G684" s="58"/>
      <c r="H684" s="45"/>
      <c r="I684" s="46"/>
      <c r="J684" s="44"/>
    </row>
    <row r="685" spans="2:10" ht="14.4" customHeight="1">
      <c r="B685" s="69"/>
      <c r="C685" s="61"/>
      <c r="D685" s="61"/>
      <c r="E685" s="44"/>
      <c r="F685" s="57"/>
      <c r="G685" s="58"/>
      <c r="H685" s="45"/>
      <c r="I685" s="46"/>
      <c r="J685" s="44"/>
    </row>
    <row r="686" spans="2:10" ht="14.4" customHeight="1">
      <c r="B686" s="69"/>
      <c r="C686" s="61"/>
      <c r="D686" s="61"/>
      <c r="E686" s="44"/>
      <c r="F686" s="57"/>
      <c r="G686" s="58"/>
      <c r="H686" s="45"/>
      <c r="I686" s="46"/>
      <c r="J686" s="44"/>
    </row>
    <row r="687" spans="2:10" ht="14.4" customHeight="1">
      <c r="B687" s="69"/>
      <c r="C687" s="61"/>
      <c r="D687" s="61"/>
      <c r="E687" s="44"/>
      <c r="F687" s="57"/>
      <c r="G687" s="58"/>
      <c r="H687" s="45"/>
      <c r="I687" s="46"/>
      <c r="J687" s="44"/>
    </row>
    <row r="688" spans="2:10" ht="14.4" customHeight="1">
      <c r="B688" s="69"/>
      <c r="C688" s="61"/>
      <c r="D688" s="61"/>
      <c r="E688" s="44"/>
      <c r="F688" s="57"/>
      <c r="G688" s="58"/>
      <c r="H688" s="45"/>
      <c r="I688" s="46"/>
      <c r="J688" s="44"/>
    </row>
    <row r="689" spans="2:10" ht="14.4" customHeight="1">
      <c r="B689" s="69"/>
      <c r="C689" s="61"/>
      <c r="D689" s="61"/>
      <c r="E689" s="44"/>
      <c r="F689" s="57"/>
      <c r="G689" s="58"/>
      <c r="H689" s="45"/>
      <c r="I689" s="46"/>
      <c r="J689" s="44"/>
    </row>
    <row r="690" spans="2:10" ht="14.4" customHeight="1">
      <c r="B690" s="69"/>
      <c r="C690" s="61"/>
      <c r="D690" s="61"/>
      <c r="E690" s="44"/>
      <c r="F690" s="57"/>
      <c r="G690" s="58"/>
      <c r="H690" s="45"/>
      <c r="I690" s="46"/>
      <c r="J690" s="44"/>
    </row>
    <row r="691" spans="2:10" ht="14.4" customHeight="1">
      <c r="B691" s="69"/>
      <c r="C691" s="61"/>
      <c r="D691" s="61"/>
      <c r="E691" s="44"/>
      <c r="F691" s="57"/>
      <c r="G691" s="58"/>
      <c r="H691" s="45"/>
      <c r="I691" s="46"/>
      <c r="J691" s="44"/>
    </row>
    <row r="692" spans="2:10" ht="14.4" customHeight="1">
      <c r="B692" s="69"/>
      <c r="C692" s="61"/>
      <c r="D692" s="61"/>
      <c r="E692" s="44"/>
      <c r="F692" s="57"/>
      <c r="G692" s="58"/>
      <c r="H692" s="45"/>
      <c r="I692" s="46"/>
      <c r="J692" s="44"/>
    </row>
    <row r="693" spans="2:10" ht="14.4" customHeight="1">
      <c r="B693" s="69"/>
      <c r="C693" s="61"/>
      <c r="D693" s="61"/>
      <c r="E693" s="44"/>
      <c r="F693" s="57"/>
      <c r="G693" s="58"/>
      <c r="H693" s="45"/>
      <c r="I693" s="46"/>
      <c r="J693" s="44"/>
    </row>
    <row r="694" spans="2:10" ht="14.4" customHeight="1">
      <c r="B694" s="69"/>
      <c r="C694" s="61"/>
      <c r="D694" s="61"/>
      <c r="E694" s="44"/>
      <c r="F694" s="57"/>
      <c r="G694" s="58"/>
      <c r="H694" s="45"/>
      <c r="I694" s="46"/>
      <c r="J694" s="44"/>
    </row>
    <row r="695" spans="2:10" ht="14.4" customHeight="1">
      <c r="B695" s="69"/>
      <c r="C695" s="61"/>
      <c r="D695" s="61"/>
      <c r="E695" s="44"/>
      <c r="F695" s="57"/>
      <c r="G695" s="58"/>
      <c r="H695" s="45"/>
      <c r="I695" s="46"/>
      <c r="J695" s="44"/>
    </row>
    <row r="696" spans="2:10" ht="14.4" customHeight="1">
      <c r="B696" s="69"/>
      <c r="C696" s="61"/>
      <c r="D696" s="61"/>
      <c r="E696" s="44"/>
      <c r="F696" s="57"/>
      <c r="G696" s="58"/>
      <c r="H696" s="45"/>
      <c r="I696" s="46"/>
      <c r="J696" s="44"/>
    </row>
    <row r="697" spans="2:10" ht="14.4" customHeight="1">
      <c r="B697" s="69"/>
      <c r="C697" s="61"/>
      <c r="D697" s="61"/>
      <c r="E697" s="44"/>
      <c r="F697" s="57"/>
      <c r="G697" s="58"/>
      <c r="H697" s="45"/>
      <c r="I697" s="46"/>
      <c r="J697" s="44"/>
    </row>
    <row r="698" spans="2:10" ht="14.4" customHeight="1">
      <c r="B698" s="69"/>
      <c r="C698" s="61"/>
      <c r="D698" s="61"/>
      <c r="E698" s="44"/>
      <c r="F698" s="57"/>
      <c r="G698" s="58"/>
      <c r="H698" s="45"/>
      <c r="I698" s="46"/>
      <c r="J698" s="44"/>
    </row>
    <row r="699" spans="2:10" ht="14.4" customHeight="1">
      <c r="B699" s="69"/>
      <c r="C699" s="61"/>
      <c r="D699" s="61"/>
      <c r="E699" s="44"/>
      <c r="F699" s="57"/>
      <c r="G699" s="58"/>
      <c r="H699" s="45"/>
      <c r="I699" s="46"/>
      <c r="J699" s="44"/>
    </row>
    <row r="700" spans="2:10" ht="14.4" customHeight="1">
      <c r="B700" s="69"/>
      <c r="C700" s="61"/>
      <c r="D700" s="61"/>
      <c r="E700" s="44"/>
      <c r="F700" s="57"/>
      <c r="G700" s="58"/>
      <c r="H700" s="45"/>
      <c r="I700" s="46"/>
      <c r="J700" s="44"/>
    </row>
    <row r="701" spans="2:10" ht="14.4" customHeight="1">
      <c r="B701" s="69"/>
      <c r="C701" s="61"/>
      <c r="D701" s="61"/>
      <c r="E701" s="44"/>
      <c r="F701" s="57"/>
      <c r="G701" s="58"/>
      <c r="H701" s="45"/>
      <c r="I701" s="46"/>
      <c r="J701" s="44"/>
    </row>
    <row r="702" spans="2:10" ht="14.4" customHeight="1">
      <c r="B702" s="69"/>
      <c r="C702" s="61"/>
      <c r="D702" s="61"/>
      <c r="E702" s="44"/>
      <c r="F702" s="57"/>
      <c r="G702" s="58"/>
      <c r="H702" s="45"/>
      <c r="I702" s="46"/>
      <c r="J702" s="44"/>
    </row>
    <row r="703" spans="2:10" ht="14.4" customHeight="1">
      <c r="B703" s="69"/>
      <c r="C703" s="61"/>
      <c r="D703" s="61"/>
      <c r="E703" s="44"/>
      <c r="F703" s="57"/>
      <c r="G703" s="58"/>
      <c r="H703" s="45"/>
      <c r="I703" s="46"/>
      <c r="J703" s="44"/>
    </row>
    <row r="704" spans="2:10" ht="14.4" customHeight="1">
      <c r="B704" s="69"/>
      <c r="C704" s="61"/>
      <c r="D704" s="61"/>
      <c r="E704" s="44"/>
      <c r="F704" s="57"/>
      <c r="G704" s="58"/>
      <c r="H704" s="45"/>
      <c r="I704" s="46"/>
      <c r="J704" s="44"/>
    </row>
    <row r="705" spans="2:10" ht="14.4" customHeight="1">
      <c r="B705" s="69"/>
      <c r="C705" s="61"/>
      <c r="D705" s="61"/>
      <c r="E705" s="44"/>
      <c r="F705" s="57"/>
      <c r="G705" s="58"/>
      <c r="H705" s="45"/>
      <c r="I705" s="46"/>
      <c r="J705" s="44"/>
    </row>
    <row r="706" spans="2:10" ht="14.4" customHeight="1">
      <c r="B706" s="69"/>
      <c r="C706" s="61"/>
      <c r="D706" s="61"/>
      <c r="E706" s="44"/>
      <c r="F706" s="57"/>
      <c r="G706" s="58"/>
      <c r="H706" s="45"/>
      <c r="I706" s="46"/>
      <c r="J706" s="44"/>
    </row>
    <row r="707" spans="2:10" ht="14.4" customHeight="1">
      <c r="B707" s="69"/>
      <c r="C707" s="61"/>
      <c r="D707" s="61"/>
      <c r="E707" s="44"/>
      <c r="F707" s="57"/>
      <c r="G707" s="58"/>
      <c r="H707" s="45"/>
      <c r="I707" s="46"/>
      <c r="J707" s="44"/>
    </row>
    <row r="708" spans="2:10" ht="14.4" customHeight="1">
      <c r="B708" s="69"/>
      <c r="C708" s="61"/>
      <c r="D708" s="61"/>
      <c r="E708" s="44"/>
      <c r="F708" s="57"/>
      <c r="G708" s="58"/>
      <c r="H708" s="45"/>
      <c r="I708" s="46"/>
      <c r="J708" s="44"/>
    </row>
    <row r="709" spans="2:10" ht="14.4" customHeight="1">
      <c r="B709" s="69"/>
      <c r="C709" s="61"/>
      <c r="D709" s="61"/>
      <c r="E709" s="44"/>
      <c r="F709" s="57"/>
      <c r="G709" s="58"/>
      <c r="H709" s="45"/>
      <c r="I709" s="46"/>
      <c r="J709" s="44"/>
    </row>
    <row r="710" spans="2:10" ht="14.4" customHeight="1">
      <c r="B710" s="69"/>
      <c r="C710" s="61"/>
      <c r="D710" s="61"/>
      <c r="E710" s="44"/>
      <c r="F710" s="57"/>
      <c r="G710" s="58"/>
      <c r="H710" s="45"/>
      <c r="I710" s="46"/>
      <c r="J710" s="44"/>
    </row>
    <row r="711" spans="2:10" ht="14.4" customHeight="1">
      <c r="B711" s="69"/>
      <c r="C711" s="61"/>
      <c r="D711" s="61"/>
      <c r="E711" s="44"/>
      <c r="F711" s="57"/>
      <c r="G711" s="58"/>
      <c r="H711" s="45"/>
      <c r="I711" s="46"/>
      <c r="J711" s="44"/>
    </row>
    <row r="712" spans="2:10" ht="14.4" customHeight="1">
      <c r="B712" s="69"/>
      <c r="C712" s="61"/>
      <c r="D712" s="61"/>
      <c r="E712" s="44"/>
      <c r="F712" s="57"/>
      <c r="G712" s="58"/>
      <c r="H712" s="45"/>
      <c r="I712" s="46"/>
      <c r="J712" s="44"/>
    </row>
    <row r="713" spans="2:10" ht="14.4" customHeight="1">
      <c r="B713" s="69"/>
      <c r="C713" s="61"/>
      <c r="D713" s="61"/>
      <c r="E713" s="44"/>
      <c r="F713" s="57"/>
      <c r="G713" s="58"/>
      <c r="H713" s="45"/>
      <c r="I713" s="46"/>
      <c r="J713" s="44"/>
    </row>
    <row r="714" spans="2:10" ht="14.4" customHeight="1">
      <c r="B714" s="69"/>
      <c r="C714" s="61"/>
      <c r="D714" s="61"/>
      <c r="E714" s="44"/>
      <c r="F714" s="57"/>
      <c r="G714" s="58"/>
      <c r="H714" s="45"/>
      <c r="I714" s="46"/>
      <c r="J714" s="44"/>
    </row>
    <row r="715" spans="2:10" ht="14.4" customHeight="1">
      <c r="G715" s="51"/>
    </row>
    <row r="716" spans="2:10" ht="14.4" customHeight="1">
      <c r="G716" s="51"/>
    </row>
    <row r="717" spans="2:10" ht="14.4" customHeight="1">
      <c r="G717" s="51"/>
    </row>
    <row r="718" spans="2:10" ht="14.4" customHeight="1">
      <c r="G718" s="51"/>
    </row>
    <row r="719" spans="2:10" ht="14.4" customHeight="1">
      <c r="G719" s="51"/>
    </row>
    <row r="720" spans="2:10" ht="14.4" customHeight="1">
      <c r="G720" s="51"/>
    </row>
    <row r="721" spans="7:7" ht="14.4" customHeight="1">
      <c r="G721" s="51"/>
    </row>
    <row r="722" spans="7:7" ht="14.4" customHeight="1">
      <c r="G722" s="51"/>
    </row>
    <row r="723" spans="7:7" ht="14.4" customHeight="1">
      <c r="G723" s="51"/>
    </row>
    <row r="724" spans="7:7" ht="14.4" customHeight="1">
      <c r="G724" s="51"/>
    </row>
    <row r="725" spans="7:7" ht="14.4" customHeight="1">
      <c r="G725" s="51"/>
    </row>
    <row r="726" spans="7:7" ht="14.4" customHeight="1">
      <c r="G726" s="51"/>
    </row>
    <row r="727" spans="7:7" ht="14.4" customHeight="1">
      <c r="G727" s="51"/>
    </row>
    <row r="728" spans="7:7" ht="14.4" customHeight="1">
      <c r="G728" s="51"/>
    </row>
    <row r="729" spans="7:7" ht="14.4" customHeight="1">
      <c r="G729" s="51"/>
    </row>
    <row r="730" spans="7:7" ht="14.4" customHeight="1">
      <c r="G730" s="51"/>
    </row>
    <row r="731" spans="7:7" ht="14.4" customHeight="1">
      <c r="G731" s="51"/>
    </row>
    <row r="732" spans="7:7" ht="14.4" customHeight="1">
      <c r="G732" s="51"/>
    </row>
    <row r="733" spans="7:7" ht="14.4" customHeight="1">
      <c r="G733" s="51"/>
    </row>
    <row r="734" spans="7:7" ht="14.4" customHeight="1">
      <c r="G734" s="51"/>
    </row>
    <row r="735" spans="7:7" ht="14.4" customHeight="1">
      <c r="G735" s="51"/>
    </row>
    <row r="736" spans="7:7" ht="14.4" customHeight="1">
      <c r="G736" s="51"/>
    </row>
    <row r="737" spans="7:7" ht="14.4" customHeight="1">
      <c r="G737" s="51"/>
    </row>
    <row r="738" spans="7:7" ht="14.4" customHeight="1">
      <c r="G738" s="51"/>
    </row>
    <row r="739" spans="7:7" ht="14.4" customHeight="1">
      <c r="G739" s="51"/>
    </row>
    <row r="740" spans="7:7" ht="14.4" customHeight="1">
      <c r="G740" s="51"/>
    </row>
    <row r="741" spans="7:7" ht="14.4" customHeight="1">
      <c r="G741" s="51"/>
    </row>
    <row r="742" spans="7:7" ht="14.4" customHeight="1">
      <c r="G742" s="51"/>
    </row>
    <row r="743" spans="7:7" ht="14.4" customHeight="1">
      <c r="G743" s="51"/>
    </row>
    <row r="744" spans="7:7" ht="14.4" customHeight="1">
      <c r="G744" s="51"/>
    </row>
    <row r="745" spans="7:7" ht="14.4" customHeight="1">
      <c r="G745" s="51"/>
    </row>
    <row r="746" spans="7:7" ht="14.4" customHeight="1">
      <c r="G746" s="51"/>
    </row>
    <row r="747" spans="7:7" ht="14.4" customHeight="1">
      <c r="G747" s="51"/>
    </row>
    <row r="748" spans="7:7" ht="14.4" customHeight="1">
      <c r="G748" s="51"/>
    </row>
    <row r="749" spans="7:7" ht="14.4" customHeight="1">
      <c r="G749" s="51"/>
    </row>
    <row r="750" spans="7:7" ht="14.4" customHeight="1">
      <c r="G750" s="51"/>
    </row>
    <row r="751" spans="7:7" ht="14.4" customHeight="1">
      <c r="G751" s="51"/>
    </row>
    <row r="752" spans="7:7" ht="14.4" customHeight="1">
      <c r="G752" s="51"/>
    </row>
    <row r="753" spans="7:7" ht="14.4" customHeight="1">
      <c r="G753" s="51"/>
    </row>
    <row r="754" spans="7:7" ht="14.4" customHeight="1">
      <c r="G754" s="51"/>
    </row>
    <row r="755" spans="7:7" ht="14.4" customHeight="1">
      <c r="G755" s="51"/>
    </row>
    <row r="756" spans="7:7" ht="14.4" customHeight="1">
      <c r="G756" s="51"/>
    </row>
    <row r="757" spans="7:7" ht="14.4" customHeight="1">
      <c r="G757" s="51"/>
    </row>
    <row r="758" spans="7:7" ht="14.4" customHeight="1">
      <c r="G758" s="51"/>
    </row>
    <row r="759" spans="7:7" ht="14.4" customHeight="1">
      <c r="G759" s="51"/>
    </row>
    <row r="760" spans="7:7" ht="14.4" customHeight="1">
      <c r="G760" s="51"/>
    </row>
    <row r="761" spans="7:7" ht="14.4" customHeight="1">
      <c r="G761" s="51"/>
    </row>
    <row r="762" spans="7:7" ht="14.4" customHeight="1">
      <c r="G762" s="51"/>
    </row>
    <row r="763" spans="7:7" ht="14.4" customHeight="1">
      <c r="G763" s="51"/>
    </row>
    <row r="764" spans="7:7" ht="14.4" customHeight="1">
      <c r="G764" s="51"/>
    </row>
    <row r="765" spans="7:7" ht="14.4" customHeight="1">
      <c r="G765" s="51"/>
    </row>
    <row r="766" spans="7:7" ht="14.4" customHeight="1">
      <c r="G766" s="51"/>
    </row>
    <row r="767" spans="7:7" ht="14.4" customHeight="1">
      <c r="G767" s="51"/>
    </row>
    <row r="768" spans="7:7" ht="14.4" customHeight="1">
      <c r="G768" s="51"/>
    </row>
    <row r="769" spans="7:7" ht="14.4" customHeight="1">
      <c r="G769" s="51"/>
    </row>
    <row r="770" spans="7:7" ht="14.4" customHeight="1">
      <c r="G770" s="51"/>
    </row>
    <row r="771" spans="7:7" ht="14.4" customHeight="1">
      <c r="G771" s="51"/>
    </row>
    <row r="772" spans="7:7" ht="14.4" customHeight="1">
      <c r="G772" s="51"/>
    </row>
    <row r="773" spans="7:7" ht="14.4" customHeight="1">
      <c r="G773" s="51"/>
    </row>
    <row r="774" spans="7:7" ht="14.4" customHeight="1">
      <c r="G774" s="51"/>
    </row>
    <row r="775" spans="7:7" ht="14.4" customHeight="1">
      <c r="G775" s="51"/>
    </row>
    <row r="776" spans="7:7" ht="14.4" customHeight="1">
      <c r="G776" s="51"/>
    </row>
    <row r="777" spans="7:7" ht="14.4" customHeight="1">
      <c r="G777" s="51"/>
    </row>
    <row r="778" spans="7:7" ht="14.4" customHeight="1">
      <c r="G778" s="51"/>
    </row>
    <row r="779" spans="7:7" ht="14.4" customHeight="1">
      <c r="G779" s="51"/>
    </row>
    <row r="780" spans="7:7" ht="14.4" customHeight="1">
      <c r="G780" s="51"/>
    </row>
    <row r="781" spans="7:7" ht="14.4" customHeight="1">
      <c r="G781" s="51"/>
    </row>
    <row r="782" spans="7:7" ht="14.4" customHeight="1">
      <c r="G782" s="51"/>
    </row>
    <row r="783" spans="7:7" ht="14.4" customHeight="1">
      <c r="G783" s="51"/>
    </row>
    <row r="784" spans="7:7" ht="14.4" customHeight="1">
      <c r="G784" s="51"/>
    </row>
    <row r="785" spans="7:7" ht="14.4" customHeight="1">
      <c r="G785" s="51"/>
    </row>
    <row r="786" spans="7:7" ht="14.4" customHeight="1">
      <c r="G786" s="51"/>
    </row>
    <row r="787" spans="7:7" ht="14.4" customHeight="1">
      <c r="G787" s="51"/>
    </row>
    <row r="788" spans="7:7" ht="14.4" customHeight="1">
      <c r="G788" s="51"/>
    </row>
    <row r="789" spans="7:7" ht="14.4" customHeight="1">
      <c r="G789" s="51"/>
    </row>
    <row r="790" spans="7:7" ht="14.4" customHeight="1">
      <c r="G790" s="51"/>
    </row>
    <row r="791" spans="7:7" ht="14.4" customHeight="1">
      <c r="G791" s="51"/>
    </row>
    <row r="792" spans="7:7" ht="14.4" customHeight="1">
      <c r="G792" s="51"/>
    </row>
    <row r="793" spans="7:7" ht="14.4" customHeight="1">
      <c r="G793" s="51"/>
    </row>
    <row r="794" spans="7:7" ht="14.4" customHeight="1">
      <c r="G794" s="51"/>
    </row>
    <row r="795" spans="7:7" ht="14.4" customHeight="1">
      <c r="G795" s="51"/>
    </row>
    <row r="796" spans="7:7" ht="14.4" customHeight="1">
      <c r="G796" s="51"/>
    </row>
    <row r="797" spans="7:7" ht="14.4" customHeight="1">
      <c r="G797" s="51"/>
    </row>
    <row r="798" spans="7:7" ht="14.4" customHeight="1">
      <c r="G798" s="51"/>
    </row>
    <row r="799" spans="7:7" ht="14.4" customHeight="1">
      <c r="G799" s="51"/>
    </row>
    <row r="800" spans="7:7" ht="14.4" customHeight="1">
      <c r="G800" s="51"/>
    </row>
    <row r="801" spans="7:7" ht="14.4" customHeight="1">
      <c r="G801" s="51"/>
    </row>
    <row r="802" spans="7:7" ht="14.4" customHeight="1">
      <c r="G802" s="51"/>
    </row>
    <row r="803" spans="7:7" ht="14.4" customHeight="1">
      <c r="G803" s="51"/>
    </row>
    <row r="804" spans="7:7" ht="14.4" customHeight="1">
      <c r="G804" s="51"/>
    </row>
    <row r="805" spans="7:7" ht="14.4" customHeight="1">
      <c r="G805" s="51"/>
    </row>
    <row r="806" spans="7:7" ht="14.4" customHeight="1">
      <c r="G806" s="51"/>
    </row>
    <row r="807" spans="7:7" ht="14.4" customHeight="1">
      <c r="G807" s="51"/>
    </row>
    <row r="808" spans="7:7" ht="14.4" customHeight="1">
      <c r="G808" s="51"/>
    </row>
    <row r="809" spans="7:7" ht="14.4" customHeight="1">
      <c r="G809" s="51"/>
    </row>
    <row r="810" spans="7:7" ht="14.4" customHeight="1">
      <c r="G810" s="51"/>
    </row>
    <row r="811" spans="7:7" ht="14.4" customHeight="1">
      <c r="G811" s="51"/>
    </row>
    <row r="812" spans="7:7" ht="14.4" customHeight="1">
      <c r="G812" s="51"/>
    </row>
    <row r="813" spans="7:7" ht="14.4" customHeight="1">
      <c r="G813" s="51"/>
    </row>
    <row r="814" spans="7:7" ht="14.4" customHeight="1">
      <c r="G814" s="51"/>
    </row>
    <row r="815" spans="7:7" ht="14.4" customHeight="1">
      <c r="G815" s="51"/>
    </row>
    <row r="816" spans="7:7" ht="14.4" customHeight="1">
      <c r="G816" s="51"/>
    </row>
    <row r="817" spans="7:7" ht="14.4" customHeight="1">
      <c r="G817" s="51"/>
    </row>
    <row r="818" spans="7:7" ht="14.4" customHeight="1">
      <c r="G818" s="51"/>
    </row>
    <row r="819" spans="7:7" ht="14.4" customHeight="1">
      <c r="G819" s="51"/>
    </row>
    <row r="820" spans="7:7" ht="14.4" customHeight="1">
      <c r="G820" s="51"/>
    </row>
    <row r="821" spans="7:7" ht="14.4" customHeight="1">
      <c r="G821" s="51"/>
    </row>
    <row r="822" spans="7:7" ht="14.4" customHeight="1">
      <c r="G822" s="51"/>
    </row>
    <row r="823" spans="7:7" ht="14.4" customHeight="1">
      <c r="G823" s="51"/>
    </row>
    <row r="824" spans="7:7" ht="14.4" customHeight="1">
      <c r="G824" s="51"/>
    </row>
    <row r="825" spans="7:7" ht="14.4" customHeight="1">
      <c r="G825" s="51"/>
    </row>
    <row r="826" spans="7:7" ht="14.4" customHeight="1">
      <c r="G826" s="51"/>
    </row>
    <row r="827" spans="7:7" ht="14.4" customHeight="1">
      <c r="G827" s="51"/>
    </row>
    <row r="828" spans="7:7" ht="14.4" customHeight="1">
      <c r="G828" s="51"/>
    </row>
    <row r="829" spans="7:7" ht="14.4" customHeight="1">
      <c r="G829" s="51"/>
    </row>
    <row r="830" spans="7:7" ht="14.4" customHeight="1">
      <c r="G830" s="51"/>
    </row>
    <row r="831" spans="7:7" ht="14.4" customHeight="1">
      <c r="G831" s="51"/>
    </row>
    <row r="832" spans="7:7" ht="14.4" customHeight="1">
      <c r="G832" s="51"/>
    </row>
    <row r="833" spans="7:7" ht="14.4" customHeight="1">
      <c r="G833" s="51"/>
    </row>
    <row r="834" spans="7:7" ht="14.4" customHeight="1">
      <c r="G834" s="51"/>
    </row>
    <row r="835" spans="7:7" ht="14.4" customHeight="1">
      <c r="G835" s="51"/>
    </row>
    <row r="836" spans="7:7" ht="14.4" customHeight="1">
      <c r="G836" s="51"/>
    </row>
    <row r="837" spans="7:7" ht="14.4" customHeight="1">
      <c r="G837" s="51"/>
    </row>
    <row r="838" spans="7:7" ht="14.4" customHeight="1">
      <c r="G838" s="51"/>
    </row>
    <row r="839" spans="7:7" ht="14.4" customHeight="1">
      <c r="G839" s="51"/>
    </row>
    <row r="840" spans="7:7" ht="14.4" customHeight="1">
      <c r="G840" s="51"/>
    </row>
    <row r="841" spans="7:7" ht="14.4" customHeight="1">
      <c r="G841" s="51"/>
    </row>
    <row r="842" spans="7:7" ht="14.4" customHeight="1">
      <c r="G842" s="51"/>
    </row>
    <row r="843" spans="7:7" ht="14.4" customHeight="1">
      <c r="G843" s="51"/>
    </row>
    <row r="844" spans="7:7" ht="14.4" customHeight="1">
      <c r="G844" s="51"/>
    </row>
    <row r="845" spans="7:7" ht="14.4" customHeight="1">
      <c r="G845" s="51"/>
    </row>
    <row r="846" spans="7:7" ht="14.4" customHeight="1">
      <c r="G846" s="51"/>
    </row>
    <row r="847" spans="7:7" ht="14.4" customHeight="1">
      <c r="G847" s="51"/>
    </row>
    <row r="848" spans="7:7" ht="14.4" customHeight="1">
      <c r="G848" s="51"/>
    </row>
    <row r="849" spans="7:7" ht="14.4" customHeight="1">
      <c r="G849" s="51"/>
    </row>
    <row r="850" spans="7:7" ht="14.4" customHeight="1">
      <c r="G850" s="51"/>
    </row>
    <row r="851" spans="7:7" ht="14.4" customHeight="1">
      <c r="G851" s="51"/>
    </row>
    <row r="852" spans="7:7" ht="14.4" customHeight="1">
      <c r="G852" s="51"/>
    </row>
    <row r="853" spans="7:7" ht="14.4" customHeight="1">
      <c r="G853" s="51"/>
    </row>
    <row r="854" spans="7:7" ht="14.4" customHeight="1">
      <c r="G854" s="51"/>
    </row>
    <row r="855" spans="7:7" ht="14.4" customHeight="1">
      <c r="G855" s="51"/>
    </row>
    <row r="856" spans="7:7" ht="14.4" customHeight="1">
      <c r="G856" s="51"/>
    </row>
    <row r="857" spans="7:7" ht="14.4" customHeight="1">
      <c r="G857" s="51"/>
    </row>
    <row r="858" spans="7:7" ht="14.4" customHeight="1">
      <c r="G858" s="51"/>
    </row>
    <row r="859" spans="7:7" ht="14.4" customHeight="1">
      <c r="G859" s="51"/>
    </row>
    <row r="860" spans="7:7" ht="14.4" customHeight="1">
      <c r="G860" s="51"/>
    </row>
    <row r="861" spans="7:7" ht="14.4" customHeight="1">
      <c r="G861" s="51"/>
    </row>
    <row r="862" spans="7:7" ht="14.4" customHeight="1">
      <c r="G862" s="51"/>
    </row>
    <row r="863" spans="7:7" ht="14.4" customHeight="1">
      <c r="G863" s="51"/>
    </row>
    <row r="864" spans="7:7" ht="14.4" customHeight="1">
      <c r="G864" s="51"/>
    </row>
    <row r="865" spans="7:7" ht="14.4" customHeight="1">
      <c r="G865" s="51"/>
    </row>
    <row r="866" spans="7:7" ht="14.4" customHeight="1">
      <c r="G866" s="51"/>
    </row>
    <row r="867" spans="7:7" ht="14.4" customHeight="1">
      <c r="G867" s="51"/>
    </row>
    <row r="868" spans="7:7" ht="14.4" customHeight="1">
      <c r="G868" s="51"/>
    </row>
    <row r="869" spans="7:7" ht="14.4" customHeight="1">
      <c r="G869" s="51"/>
    </row>
    <row r="870" spans="7:7" ht="14.4" customHeight="1">
      <c r="G870" s="51"/>
    </row>
    <row r="871" spans="7:7" ht="14.4" customHeight="1">
      <c r="G871" s="51"/>
    </row>
    <row r="872" spans="7:7" ht="14.4" customHeight="1">
      <c r="G872" s="51"/>
    </row>
    <row r="873" spans="7:7" ht="14.4" customHeight="1">
      <c r="G873" s="51"/>
    </row>
    <row r="874" spans="7:7" ht="14.4" customHeight="1">
      <c r="G874" s="51"/>
    </row>
    <row r="875" spans="7:7" ht="14.4" customHeight="1">
      <c r="G875" s="51"/>
    </row>
    <row r="876" spans="7:7" ht="14.4" customHeight="1">
      <c r="G876" s="51"/>
    </row>
    <row r="877" spans="7:7" ht="14.4" customHeight="1">
      <c r="G877" s="51"/>
    </row>
    <row r="878" spans="7:7" ht="14.4" customHeight="1">
      <c r="G878" s="51"/>
    </row>
    <row r="879" spans="7:7" ht="14.4" customHeight="1">
      <c r="G879" s="51"/>
    </row>
    <row r="880" spans="7:7" ht="14.4" customHeight="1">
      <c r="G880" s="51"/>
    </row>
    <row r="881" spans="7:7" ht="14.4" customHeight="1">
      <c r="G881" s="51"/>
    </row>
    <row r="882" spans="7:7" ht="14.4" customHeight="1">
      <c r="G882" s="51"/>
    </row>
    <row r="883" spans="7:7" ht="14.4" customHeight="1">
      <c r="G883" s="51"/>
    </row>
    <row r="884" spans="7:7" ht="14.4" customHeight="1">
      <c r="G884" s="51"/>
    </row>
    <row r="885" spans="7:7" ht="14.4" customHeight="1">
      <c r="G885" s="51"/>
    </row>
    <row r="886" spans="7:7" ht="14.4" customHeight="1">
      <c r="G886" s="51"/>
    </row>
    <row r="887" spans="7:7" ht="14.4" customHeight="1">
      <c r="G887" s="51"/>
    </row>
    <row r="888" spans="7:7" ht="14.4" customHeight="1">
      <c r="G888" s="51"/>
    </row>
    <row r="889" spans="7:7" ht="14.4" customHeight="1">
      <c r="G889" s="51"/>
    </row>
    <row r="890" spans="7:7" ht="14.4" customHeight="1">
      <c r="G890" s="51"/>
    </row>
    <row r="891" spans="7:7" ht="14.4" customHeight="1">
      <c r="G891" s="51"/>
    </row>
    <row r="892" spans="7:7" ht="14.4" customHeight="1">
      <c r="G892" s="51"/>
    </row>
    <row r="893" spans="7:7" ht="14.4" customHeight="1">
      <c r="G893" s="51"/>
    </row>
    <row r="894" spans="7:7" ht="14.4" customHeight="1">
      <c r="G894" s="51"/>
    </row>
    <row r="895" spans="7:7" ht="14.4" customHeight="1">
      <c r="G895" s="51"/>
    </row>
    <row r="896" spans="7:7" ht="14.4" customHeight="1">
      <c r="G896" s="51"/>
    </row>
    <row r="897" spans="7:7" ht="14.4" customHeight="1">
      <c r="G897" s="51"/>
    </row>
    <row r="898" spans="7:7" ht="14.4" customHeight="1">
      <c r="G898" s="51"/>
    </row>
    <row r="899" spans="7:7" ht="14.4" customHeight="1">
      <c r="G899" s="51"/>
    </row>
    <row r="900" spans="7:7" ht="14.4" customHeight="1">
      <c r="G900" s="51"/>
    </row>
    <row r="901" spans="7:7" ht="14.4" customHeight="1">
      <c r="G901" s="51"/>
    </row>
    <row r="902" spans="7:7" ht="14.4" customHeight="1">
      <c r="G902" s="51"/>
    </row>
    <row r="903" spans="7:7" ht="14.4" customHeight="1">
      <c r="G903" s="51"/>
    </row>
    <row r="904" spans="7:7" ht="14.4" customHeight="1">
      <c r="G904" s="51"/>
    </row>
    <row r="905" spans="7:7" ht="14.4" customHeight="1">
      <c r="G905" s="51"/>
    </row>
    <row r="906" spans="7:7" ht="14.4" customHeight="1">
      <c r="G906" s="51"/>
    </row>
    <row r="907" spans="7:7" ht="14.4" customHeight="1">
      <c r="G907" s="51"/>
    </row>
    <row r="908" spans="7:7" ht="14.4" customHeight="1">
      <c r="G908" s="51"/>
    </row>
    <row r="909" spans="7:7" ht="14.4" customHeight="1">
      <c r="G909" s="51"/>
    </row>
    <row r="910" spans="7:7" ht="14.4" customHeight="1">
      <c r="G910" s="51"/>
    </row>
    <row r="911" spans="7:7" ht="14.4" customHeight="1">
      <c r="G911" s="51"/>
    </row>
    <row r="912" spans="7:7" ht="14.4" customHeight="1">
      <c r="G912" s="51"/>
    </row>
    <row r="913" spans="7:7" ht="14.4" customHeight="1">
      <c r="G913" s="51"/>
    </row>
    <row r="914" spans="7:7" ht="14.4" customHeight="1">
      <c r="G914" s="51"/>
    </row>
    <row r="915" spans="7:7" ht="14.4" customHeight="1">
      <c r="G915" s="51"/>
    </row>
    <row r="916" spans="7:7" ht="14.4" customHeight="1">
      <c r="G916" s="51"/>
    </row>
    <row r="917" spans="7:7" ht="14.4" customHeight="1">
      <c r="G917" s="51"/>
    </row>
    <row r="918" spans="7:7" ht="14.4" customHeight="1">
      <c r="G918" s="51"/>
    </row>
    <row r="919" spans="7:7" ht="14.4" customHeight="1">
      <c r="G919" s="51"/>
    </row>
    <row r="920" spans="7:7" ht="14.4" customHeight="1">
      <c r="G920" s="51"/>
    </row>
    <row r="921" spans="7:7" ht="14.4" customHeight="1">
      <c r="G921" s="51"/>
    </row>
    <row r="922" spans="7:7" ht="14.4" customHeight="1">
      <c r="G922" s="51"/>
    </row>
    <row r="923" spans="7:7" ht="14.4" customHeight="1">
      <c r="G923" s="51"/>
    </row>
    <row r="924" spans="7:7" ht="14.4" customHeight="1">
      <c r="G924" s="51"/>
    </row>
    <row r="925" spans="7:7" ht="14.4" customHeight="1">
      <c r="G925" s="51"/>
    </row>
    <row r="926" spans="7:7" ht="14.4" customHeight="1">
      <c r="G926" s="51"/>
    </row>
    <row r="927" spans="7:7" ht="14.4" customHeight="1">
      <c r="G927" s="51"/>
    </row>
    <row r="928" spans="7:7" ht="14.4" customHeight="1">
      <c r="G928" s="51"/>
    </row>
    <row r="929" spans="7:7" ht="14.4" customHeight="1">
      <c r="G929" s="51"/>
    </row>
    <row r="930" spans="7:7" ht="14.4" customHeight="1">
      <c r="G930" s="51"/>
    </row>
    <row r="931" spans="7:7" ht="14.4" customHeight="1">
      <c r="G931" s="51"/>
    </row>
    <row r="932" spans="7:7" ht="14.4" customHeight="1">
      <c r="G932" s="51"/>
    </row>
    <row r="933" spans="7:7" ht="14.4" customHeight="1">
      <c r="G933" s="51"/>
    </row>
    <row r="934" spans="7:7" ht="14.4" customHeight="1">
      <c r="G934" s="51"/>
    </row>
    <row r="935" spans="7:7" ht="14.4" customHeight="1">
      <c r="G935" s="51"/>
    </row>
    <row r="936" spans="7:7" ht="14.4" customHeight="1">
      <c r="G936" s="51"/>
    </row>
    <row r="937" spans="7:7" ht="14.4" customHeight="1">
      <c r="G937" s="51"/>
    </row>
    <row r="938" spans="7:7" ht="14.4" customHeight="1">
      <c r="G938" s="51"/>
    </row>
    <row r="939" spans="7:7" ht="14.4" customHeight="1">
      <c r="G939" s="51"/>
    </row>
    <row r="940" spans="7:7" ht="14.4" customHeight="1">
      <c r="G940" s="51"/>
    </row>
    <row r="941" spans="7:7" ht="14.4" customHeight="1">
      <c r="G941" s="51"/>
    </row>
    <row r="942" spans="7:7" ht="14.4" customHeight="1">
      <c r="G942" s="51"/>
    </row>
    <row r="943" spans="7:7" ht="14.4" customHeight="1">
      <c r="G943" s="51"/>
    </row>
    <row r="944" spans="7:7" ht="14.4" customHeight="1">
      <c r="G944" s="51"/>
    </row>
    <row r="945" spans="7:7" ht="14.4" customHeight="1">
      <c r="G945" s="51"/>
    </row>
    <row r="946" spans="7:7" ht="14.4" customHeight="1">
      <c r="G946" s="51"/>
    </row>
    <row r="947" spans="7:7" ht="14.4" customHeight="1">
      <c r="G947" s="51"/>
    </row>
    <row r="948" spans="7:7" ht="14.4" customHeight="1">
      <c r="G948" s="51"/>
    </row>
    <row r="949" spans="7:7" ht="14.4" customHeight="1">
      <c r="G949" s="51"/>
    </row>
    <row r="950" spans="7:7" ht="14.4" customHeight="1">
      <c r="G950" s="51"/>
    </row>
    <row r="951" spans="7:7" ht="14.4" customHeight="1">
      <c r="G951" s="51"/>
    </row>
    <row r="952" spans="7:7" ht="14.4" customHeight="1">
      <c r="G952" s="51"/>
    </row>
    <row r="953" spans="7:7" ht="14.4" customHeight="1">
      <c r="G953" s="51"/>
    </row>
    <row r="954" spans="7:7" ht="14.4" customHeight="1">
      <c r="G954" s="51"/>
    </row>
    <row r="955" spans="7:7" ht="14.4" customHeight="1">
      <c r="G955" s="51"/>
    </row>
    <row r="956" spans="7:7" ht="14.4" customHeight="1">
      <c r="G956" s="51"/>
    </row>
    <row r="957" spans="7:7" ht="14.4" customHeight="1">
      <c r="G957" s="51"/>
    </row>
    <row r="958" spans="7:7" ht="14.4" customHeight="1">
      <c r="G958" s="51"/>
    </row>
    <row r="959" spans="7:7" ht="14.4" customHeight="1">
      <c r="G959" s="51"/>
    </row>
    <row r="960" spans="7:7" ht="14.4" customHeight="1">
      <c r="G960" s="51"/>
    </row>
    <row r="961" spans="7:7" ht="14.4" customHeight="1">
      <c r="G961" s="51"/>
    </row>
    <row r="962" spans="7:7" ht="14.4" customHeight="1">
      <c r="G962" s="51"/>
    </row>
    <row r="963" spans="7:7" ht="14.4" customHeight="1">
      <c r="G963" s="51"/>
    </row>
    <row r="964" spans="7:7" ht="14.4" customHeight="1">
      <c r="G964" s="51"/>
    </row>
    <row r="965" spans="7:7" ht="14.4" customHeight="1">
      <c r="G965" s="51"/>
    </row>
    <row r="966" spans="7:7" ht="14.4" customHeight="1">
      <c r="G966" s="51"/>
    </row>
    <row r="967" spans="7:7" ht="14.4" customHeight="1">
      <c r="G967" s="51"/>
    </row>
    <row r="968" spans="7:7" ht="14.4" customHeight="1">
      <c r="G968" s="51"/>
    </row>
    <row r="969" spans="7:7" ht="14.4" customHeight="1">
      <c r="G969" s="51"/>
    </row>
  </sheetData>
  <autoFilter ref="B3:J232" xr:uid="{FFC70EA4-87C6-44F8-A254-94EBEE5F6E1D}">
    <filterColumn colId="1">
      <filters>
        <filter val="화장품"/>
      </filters>
    </filterColumn>
    <sortState xmlns:xlrd2="http://schemas.microsoft.com/office/spreadsheetml/2017/richdata2" ref="B41:J136">
      <sortCondition ref="E3:E23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E53" sqref="E53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N4" sqref="N4:N52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55"/>
  <sheetViews>
    <sheetView workbookViewId="0">
      <selection activeCell="B17" sqref="B17:C22"/>
    </sheetView>
  </sheetViews>
  <sheetFormatPr defaultRowHeight="13.2"/>
  <cols>
    <col min="2" max="2" width="9.88671875" style="63" customWidth="1"/>
    <col min="3" max="3" width="15" style="63" customWidth="1"/>
  </cols>
  <sheetData>
    <row r="2" spans="2:3" ht="13.8">
      <c r="B2" s="64" t="s">
        <v>2</v>
      </c>
      <c r="C2" s="64" t="s">
        <v>3</v>
      </c>
    </row>
    <row r="3" spans="2:3" ht="13.8">
      <c r="B3" s="64" t="s">
        <v>60</v>
      </c>
      <c r="C3" s="64" t="s">
        <v>29</v>
      </c>
    </row>
    <row r="4" spans="2:3" ht="13.8">
      <c r="B4" s="14" t="s">
        <v>6</v>
      </c>
      <c r="C4" s="14" t="s">
        <v>7</v>
      </c>
    </row>
    <row r="5" spans="2:3" ht="13.8">
      <c r="B5" s="14" t="s">
        <v>6</v>
      </c>
      <c r="C5" s="14" t="s">
        <v>11</v>
      </c>
    </row>
    <row r="6" spans="2:3" ht="13.8">
      <c r="B6" s="14" t="s">
        <v>6</v>
      </c>
      <c r="C6" s="14" t="s">
        <v>71</v>
      </c>
    </row>
    <row r="7" spans="2:3" ht="13.8">
      <c r="B7" s="14" t="s">
        <v>6</v>
      </c>
      <c r="C7" s="14" t="s">
        <v>74</v>
      </c>
    </row>
    <row r="8" spans="2:3" ht="13.8">
      <c r="B8" s="14" t="s">
        <v>12</v>
      </c>
      <c r="C8" s="14" t="s">
        <v>13</v>
      </c>
    </row>
    <row r="9" spans="2:3" ht="13.8">
      <c r="B9" s="14" t="s">
        <v>12</v>
      </c>
      <c r="C9" s="14" t="s">
        <v>14</v>
      </c>
    </row>
    <row r="10" spans="2:3" ht="13.8">
      <c r="B10" s="14" t="s">
        <v>12</v>
      </c>
      <c r="C10" s="14" t="s">
        <v>15</v>
      </c>
    </row>
    <row r="11" spans="2:3" ht="14.4">
      <c r="B11" s="14" t="s">
        <v>12</v>
      </c>
      <c r="C11" s="33" t="s">
        <v>130</v>
      </c>
    </row>
    <row r="12" spans="2:3" ht="13.8">
      <c r="B12" s="14" t="s">
        <v>12</v>
      </c>
      <c r="C12" s="14" t="s">
        <v>16</v>
      </c>
    </row>
    <row r="13" spans="2:3" ht="13.8">
      <c r="B13" s="14" t="s">
        <v>12</v>
      </c>
      <c r="C13" s="14" t="s">
        <v>17</v>
      </c>
    </row>
    <row r="14" spans="2:3" ht="13.8">
      <c r="B14" s="14" t="s">
        <v>12</v>
      </c>
      <c r="C14" s="14" t="s">
        <v>27</v>
      </c>
    </row>
    <row r="15" spans="2:3" ht="13.8">
      <c r="B15" s="14" t="s">
        <v>12</v>
      </c>
      <c r="C15" s="14" t="s">
        <v>113</v>
      </c>
    </row>
    <row r="16" spans="2:3" ht="13.8">
      <c r="B16" s="14" t="s">
        <v>12</v>
      </c>
      <c r="C16" s="14" t="s">
        <v>118</v>
      </c>
    </row>
    <row r="17" spans="2:3" ht="13.8">
      <c r="B17" s="14" t="s">
        <v>18</v>
      </c>
      <c r="C17" s="14" t="s">
        <v>19</v>
      </c>
    </row>
    <row r="18" spans="2:3" ht="13.8">
      <c r="B18" s="14" t="s">
        <v>18</v>
      </c>
      <c r="C18" s="14" t="s">
        <v>20</v>
      </c>
    </row>
    <row r="19" spans="2:3" ht="13.8">
      <c r="B19" s="14" t="s">
        <v>18</v>
      </c>
      <c r="C19" s="14" t="s">
        <v>21</v>
      </c>
    </row>
    <row r="20" spans="2:3" ht="13.8">
      <c r="B20" s="14" t="s">
        <v>18</v>
      </c>
      <c r="C20" s="14" t="s">
        <v>22</v>
      </c>
    </row>
    <row r="21" spans="2:3" ht="13.8">
      <c r="B21" s="14" t="s">
        <v>18</v>
      </c>
      <c r="C21" s="14" t="s">
        <v>24</v>
      </c>
    </row>
    <row r="22" spans="2:3" ht="14.4">
      <c r="B22" s="14" t="s">
        <v>18</v>
      </c>
      <c r="C22" s="33" t="s">
        <v>169</v>
      </c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2025-10-30T23:45:30Z</dcterms:modified>
</cp:coreProperties>
</file>